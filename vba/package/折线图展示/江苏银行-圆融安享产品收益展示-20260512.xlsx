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8_{204B8F07-405F-40F5-877A-76921DFC0212}" xr6:coauthVersionLast="47" xr6:coauthVersionMax="47" xr10:uidLastSave="{00000000-0000-0000-0000-000000000000}"/>
  <bookViews>
    <workbookView xWindow="-110" yWindow="-110" windowWidth="25820" windowHeight="15500" xr2:uid="{00000000-000D-0000-FFFF-FFFF00000000}"/>
  </bookViews>
  <sheets>
    <sheet name="圆融安享日开7天28天系列" sheetId="1" r:id="rId1"/>
  </sheets>
  <externalReferences>
    <externalReference r:id="rId2"/>
  </externalReferenc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0" i="1" l="1"/>
  <c r="J20" i="1" s="1"/>
  <c r="G20" i="1"/>
  <c r="I20" i="1" s="1"/>
  <c r="F20" i="1"/>
  <c r="F19" i="1"/>
  <c r="H17" i="1"/>
  <c r="J17" i="1" s="1"/>
  <c r="G17" i="1"/>
  <c r="I17" i="1" s="1"/>
  <c r="J16" i="1"/>
  <c r="I16" i="1"/>
  <c r="H16" i="1"/>
  <c r="G16" i="1"/>
  <c r="F16" i="1"/>
  <c r="H15" i="1"/>
  <c r="J15" i="1" s="1"/>
  <c r="G15" i="1"/>
  <c r="I15" i="1" s="1"/>
  <c r="F15" i="1"/>
  <c r="H12" i="1"/>
  <c r="J12" i="1" s="1"/>
  <c r="G12" i="1"/>
  <c r="I12" i="1" s="1"/>
  <c r="I11" i="1"/>
  <c r="H11" i="1"/>
  <c r="J11" i="1" s="1"/>
  <c r="G11" i="1"/>
  <c r="J10" i="1"/>
  <c r="H10" i="1"/>
  <c r="G10" i="1"/>
  <c r="I10" i="1" s="1"/>
  <c r="H9" i="1"/>
  <c r="J9" i="1" s="1"/>
  <c r="G9" i="1"/>
  <c r="I9" i="1" s="1"/>
  <c r="H8" i="1"/>
  <c r="J8" i="1" s="1"/>
  <c r="G8" i="1"/>
  <c r="I8" i="1" s="1"/>
  <c r="I7" i="1"/>
  <c r="H7" i="1"/>
  <c r="J7" i="1" s="1"/>
  <c r="G7" i="1"/>
  <c r="J6" i="1"/>
  <c r="I6" i="1"/>
  <c r="H6" i="1"/>
  <c r="G6" i="1"/>
  <c r="H5" i="1"/>
  <c r="J5" i="1" s="1"/>
  <c r="G5" i="1"/>
  <c r="I5" i="1" s="1"/>
  <c r="H4" i="1"/>
  <c r="J4" i="1" s="1"/>
  <c r="G4" i="1"/>
  <c r="I4" i="1" s="1"/>
  <c r="F4" i="1"/>
</calcChain>
</file>

<file path=xl/sharedStrings.xml><?xml version="1.0" encoding="utf-8"?>
<sst xmlns="http://schemas.openxmlformats.org/spreadsheetml/2006/main" count="44" uniqueCount="26">
  <si>
    <t>交银国信·圆融安享汇益固收稳健系列信托计划
历史到期产品收益情况</t>
  </si>
  <si>
    <t>产品名称</t>
  </si>
  <si>
    <t>下一开放日</t>
  </si>
  <si>
    <t>开放频率</t>
  </si>
  <si>
    <t>7天年化收益率</t>
  </si>
  <si>
    <r>
      <rPr>
        <b/>
        <sz val="14"/>
        <color theme="0"/>
        <rFont val="方正小标宋_GBK"/>
        <charset val="134"/>
      </rPr>
      <t>2</t>
    </r>
    <r>
      <rPr>
        <b/>
        <sz val="14"/>
        <color theme="0"/>
        <rFont val="方正小标宋_GBK"/>
        <charset val="134"/>
      </rPr>
      <t>8</t>
    </r>
    <r>
      <rPr>
        <b/>
        <sz val="14"/>
        <color theme="0"/>
        <rFont val="方正小标宋_GBK"/>
        <charset val="134"/>
      </rPr>
      <t>日年化收益率</t>
    </r>
  </si>
  <si>
    <t>交银国信·圆融安享汇益固收稳健日开1号</t>
  </si>
  <si>
    <t>/</t>
  </si>
  <si>
    <t>每日</t>
  </si>
  <si>
    <t>交银国信·圆融安享汇益固收稳健日开2号</t>
  </si>
  <si>
    <t>交银国信·圆融安享汇益固收稳健日开3号</t>
  </si>
  <si>
    <t>交银国信·圆融安享汇益固收稳健日开4号</t>
  </si>
  <si>
    <t>交银国信·圆融安享汇益固收稳健日开5号</t>
  </si>
  <si>
    <t>交银国信·圆融安享汇益固收稳健日开6号</t>
  </si>
  <si>
    <t>交银国信·圆融安享汇益固收稳健日开7号</t>
  </si>
  <si>
    <t>交银国信·圆融安享汇益固收稳健日开8号</t>
  </si>
  <si>
    <t>交银国信·圆融安享汇益固收稳健日开9号</t>
  </si>
  <si>
    <t>交银国信·圆融安享汇益固收稳健7天1号</t>
  </si>
  <si>
    <t>每周</t>
  </si>
  <si>
    <t>交银国信·圆融安享汇益固收稳健7天2号</t>
  </si>
  <si>
    <t>交银国信·圆融安享汇益固收稳健7天3号</t>
  </si>
  <si>
    <t>交银国信·圆融安享汇益固收稳健28天1号</t>
  </si>
  <si>
    <t>每4周</t>
  </si>
  <si>
    <t>*表中数据来源于托管人复核的产品净值数据，数据截至2026-5-7，仅供参考，产品有风险，投资需谨慎</t>
  </si>
  <si>
    <r>
      <rPr>
        <sz val="9"/>
        <color theme="0"/>
        <rFont val="方正小标宋_GBK"/>
        <charset val="134"/>
      </rPr>
      <t xml:space="preserve">                                                                                                                                                                                                    </t>
    </r>
    <r>
      <rPr>
        <b/>
        <sz val="9"/>
        <color theme="0"/>
        <rFont val="方正小标宋_GBK"/>
        <charset val="134"/>
      </rPr>
      <t xml:space="preserve">                                               </t>
    </r>
    <r>
      <rPr>
        <b/>
        <sz val="12"/>
        <color theme="0"/>
        <rFont val="方正小标宋_GBK"/>
        <charset val="134"/>
      </rPr>
      <t>广    告</t>
    </r>
    <r>
      <rPr>
        <sz val="9"/>
        <color theme="0"/>
        <rFont val="方正小标宋_GBK"/>
        <charset val="134"/>
      </rPr>
      <t xml:space="preserve">
风险提示:本产品由交银国际信托有限公司发行与管理，交通银行股份有限公司作为代销机构不承担产品的投资、兑付和风险管理责任；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</si>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</sst>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F800]dddd\,\ mmmm\ dd\,\ yyyy"/>
  </numFmts>
  <fonts count="18">
    <font>
      <sz val="11"/>
      <color theme="1"/>
      <name val="宋体"/>
      <charset val="134"/>
      <scheme val="minor"/>
    </font>
    <font>
      <sz val="12"/>
      <color rgb="FFFF0000"/>
      <name val="华文中宋"/>
      <family val="3"/>
      <charset val="134"/>
    </font>
    <font>
      <sz val="12"/>
      <name val="宋体"/>
      <family val="3"/>
      <charset val="134"/>
    </font>
    <font>
      <sz val="12"/>
      <name val="方正小标宋_GBK"/>
      <charset val="134"/>
    </font>
    <font>
      <sz val="12"/>
      <name val="华文中宋"/>
      <family val="3"/>
      <charset val="134"/>
    </font>
    <font>
      <b/>
      <sz val="20"/>
      <color theme="0"/>
      <name val="方正小标宋_GBK"/>
      <charset val="134"/>
    </font>
    <font>
      <b/>
      <sz val="14"/>
      <color theme="0"/>
      <name val="方正小标宋_GBK"/>
      <charset val="134"/>
    </font>
    <font>
      <sz val="14"/>
      <color indexed="8"/>
      <name val="方正小标宋_GBK"/>
      <charset val="134"/>
    </font>
    <font>
      <sz val="12"/>
      <color rgb="FFFF0000"/>
      <name val="宋体"/>
      <family val="3"/>
      <charset val="134"/>
    </font>
    <font>
      <sz val="14"/>
      <name val="方正小标宋_GBK"/>
      <charset val="134"/>
    </font>
    <font>
      <sz val="9"/>
      <color theme="0"/>
      <name val="方正小标宋_GBK"/>
      <charset val="134"/>
    </font>
    <font>
      <sz val="10"/>
      <name val="Arial"/>
      <family val="2"/>
    </font>
    <font>
      <sz val="11"/>
      <color indexed="8"/>
      <name val="宋体"/>
      <family val="3"/>
      <charset val="134"/>
      <scheme val="minor"/>
    </font>
    <font>
      <sz val="11"/>
      <color indexed="8"/>
      <name val="宋体"/>
      <family val="3"/>
      <charset val="134"/>
    </font>
    <font>
      <b/>
      <sz val="9"/>
      <color theme="0"/>
      <name val="方正小标宋_GBK"/>
      <charset val="134"/>
    </font>
    <font>
      <b/>
      <sz val="12"/>
      <color theme="0"/>
      <name val="方正小标宋_GBK"/>
      <charset val="134"/>
    </font>
    <font>
      <sz val="11"/>
      <color theme="1"/>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rgb="FF02377C"/>
        <bgColor indexed="64"/>
      </patternFill>
    </fill>
    <fill>
      <patternFill patternType="solid">
        <fgColor theme="0"/>
        <bgColor indexed="64"/>
      </patternFill>
    </fill>
    <fill>
      <patternFill patternType="solid">
        <fgColor rgb="FFECF0F8"/>
        <bgColor indexed="64"/>
      </patternFill>
    </fill>
    <fill>
      <patternFill patternType="solid">
        <fgColor rgb="FFC1CDE9"/>
        <bgColor indexed="64"/>
      </patternFill>
    </fill>
  </fills>
  <borders count="22">
    <border>
      <left/>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7">
    <xf numFmtId="0" fontId="0" fillId="0" borderId="0">
      <alignment vertical="center"/>
    </xf>
    <xf numFmtId="0" fontId="16" fillId="0" borderId="0">
      <alignment vertical="center"/>
    </xf>
    <xf numFmtId="0" fontId="16" fillId="0" borderId="0">
      <alignment vertical="center"/>
    </xf>
    <xf numFmtId="9" fontId="12" fillId="0" borderId="0" applyFont="0" applyFill="0" applyBorder="0" applyAlignment="0" applyProtection="0">
      <alignment vertical="center"/>
    </xf>
    <xf numFmtId="0" fontId="13" fillId="0" borderId="0" applyProtection="0">
      <alignment vertical="center"/>
    </xf>
    <xf numFmtId="176" fontId="11" fillId="0" borderId="0" applyFont="0" applyFill="0" applyBorder="0" applyAlignment="0" applyProtection="0"/>
    <xf numFmtId="9" fontId="12" fillId="0" borderId="0" applyFont="0" applyFill="0" applyBorder="0" applyAlignment="0" applyProtection="0">
      <alignment vertical="center"/>
    </xf>
    <xf numFmtId="0" fontId="16" fillId="0" borderId="0">
      <alignment vertical="center"/>
    </xf>
    <xf numFmtId="0" fontId="11" fillId="0" borderId="0"/>
    <xf numFmtId="0" fontId="16" fillId="0" borderId="0">
      <alignment vertical="center"/>
    </xf>
    <xf numFmtId="0" fontId="2" fillId="0" borderId="0"/>
    <xf numFmtId="0" fontId="2" fillId="0" borderId="0"/>
    <xf numFmtId="0" fontId="16" fillId="0" borderId="0">
      <alignment vertical="center"/>
    </xf>
    <xf numFmtId="0" fontId="16" fillId="0" borderId="0">
      <alignment vertical="center"/>
    </xf>
    <xf numFmtId="0" fontId="13" fillId="0" borderId="0" applyProtection="0">
      <alignment vertical="center"/>
    </xf>
    <xf numFmtId="0" fontId="13" fillId="0" borderId="0" applyProtection="0">
      <alignment vertical="center"/>
    </xf>
    <xf numFmtId="0" fontId="13" fillId="0" borderId="0" applyProtection="0">
      <alignment vertical="center"/>
    </xf>
    <xf numFmtId="0" fontId="16" fillId="0" borderId="0">
      <alignment vertical="center"/>
    </xf>
    <xf numFmtId="0" fontId="2" fillId="0" borderId="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 fillId="0" borderId="0">
      <alignment vertical="center"/>
    </xf>
    <xf numFmtId="0" fontId="16" fillId="0" borderId="0"/>
    <xf numFmtId="0" fontId="16" fillId="0" borderId="0"/>
    <xf numFmtId="0" fontId="16" fillId="0" borderId="0">
      <alignment vertical="center"/>
    </xf>
    <xf numFmtId="0" fontId="16" fillId="0" borderId="0"/>
    <xf numFmtId="0" fontId="16"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1"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1" fillId="0" borderId="0"/>
    <xf numFmtId="0" fontId="16" fillId="0" borderId="0">
      <alignment vertical="center"/>
    </xf>
    <xf numFmtId="0" fontId="16" fillId="0" borderId="0">
      <alignment vertical="center"/>
    </xf>
    <xf numFmtId="176" fontId="12" fillId="0" borderId="0" applyFont="0" applyFill="0" applyBorder="0" applyAlignment="0" applyProtection="0">
      <alignment vertical="center"/>
    </xf>
    <xf numFmtId="0" fontId="2" fillId="0" borderId="0">
      <alignment vertical="center"/>
    </xf>
    <xf numFmtId="0" fontId="2" fillId="0" borderId="0">
      <alignment vertical="center"/>
    </xf>
    <xf numFmtId="176" fontId="12" fillId="0" borderId="0" applyFont="0" applyFill="0" applyBorder="0" applyAlignment="0" applyProtection="0">
      <alignment vertical="center"/>
    </xf>
    <xf numFmtId="176" fontId="12" fillId="0" borderId="0" applyFont="0" applyFill="0" applyBorder="0" applyAlignment="0" applyProtection="0">
      <alignment vertical="center"/>
    </xf>
    <xf numFmtId="176" fontId="12" fillId="0" borderId="0" applyFont="0" applyFill="0" applyBorder="0" applyAlignment="0" applyProtection="0">
      <alignment vertical="center"/>
    </xf>
  </cellStyleXfs>
  <cellXfs count="49">
    <xf numFmtId="0" fontId="0" fillId="0" borderId="0" xfId="0">
      <alignment vertical="center"/>
    </xf>
    <xf numFmtId="0" fontId="1" fillId="0" borderId="0" xfId="31" applyFont="1">
      <alignment vertical="center"/>
    </xf>
    <xf numFmtId="0" fontId="2" fillId="0" borderId="0" xfId="31">
      <alignment vertical="center"/>
    </xf>
    <xf numFmtId="0" fontId="3" fillId="0" borderId="0" xfId="31" applyFont="1">
      <alignment vertical="center"/>
    </xf>
    <xf numFmtId="0" fontId="3" fillId="0" borderId="0" xfId="31" applyFont="1" applyAlignment="1">
      <alignment horizontal="center" vertical="center"/>
    </xf>
    <xf numFmtId="0" fontId="4" fillId="0" borderId="0" xfId="31" applyFont="1">
      <alignment vertical="center"/>
    </xf>
    <xf numFmtId="0" fontId="6" fillId="2" borderId="7" xfId="31" applyFont="1" applyFill="1" applyBorder="1" applyAlignment="1">
      <alignment horizontal="center" vertical="center"/>
    </xf>
    <xf numFmtId="0" fontId="6" fillId="2" borderId="8" xfId="31" applyFont="1" applyFill="1" applyBorder="1" applyAlignment="1">
      <alignment horizontal="center" vertical="center"/>
    </xf>
    <xf numFmtId="0" fontId="6" fillId="2" borderId="9" xfId="31" applyFont="1" applyFill="1" applyBorder="1" applyAlignment="1">
      <alignment horizontal="center" vertical="center"/>
    </xf>
    <xf numFmtId="49" fontId="7" fillId="4" borderId="7" xfId="31" applyNumberFormat="1" applyFont="1" applyFill="1" applyBorder="1">
      <alignment vertical="center"/>
    </xf>
    <xf numFmtId="177" fontId="7" fillId="4" borderId="8" xfId="31" applyNumberFormat="1" applyFont="1" applyFill="1" applyBorder="1" applyAlignment="1">
      <alignment horizontal="center" vertical="center"/>
    </xf>
    <xf numFmtId="14" fontId="7" fillId="4" borderId="8" xfId="31" applyNumberFormat="1" applyFont="1" applyFill="1" applyBorder="1" applyAlignment="1">
      <alignment horizontal="center" vertical="center"/>
    </xf>
    <xf numFmtId="10" fontId="7" fillId="4" borderId="8" xfId="31" applyNumberFormat="1" applyFont="1" applyFill="1" applyBorder="1" applyAlignment="1">
      <alignment horizontal="center" vertical="center"/>
    </xf>
    <xf numFmtId="10" fontId="7" fillId="4" borderId="9" xfId="31" applyNumberFormat="1" applyFont="1" applyFill="1" applyBorder="1" applyAlignment="1">
      <alignment horizontal="center" vertical="center"/>
    </xf>
    <xf numFmtId="0" fontId="8" fillId="0" borderId="0" xfId="31" applyFont="1">
      <alignment vertical="center"/>
    </xf>
    <xf numFmtId="10" fontId="8" fillId="0" borderId="0" xfId="31" applyNumberFormat="1" applyFont="1">
      <alignment vertical="center"/>
    </xf>
    <xf numFmtId="10" fontId="7" fillId="4" borderId="8" xfId="31" applyNumberFormat="1" applyFont="1" applyFill="1" applyBorder="1" applyAlignment="1">
      <alignment horizontal="center" vertical="center" wrapText="1"/>
    </xf>
    <xf numFmtId="0" fontId="6" fillId="2" borderId="4" xfId="31" applyFont="1" applyFill="1" applyBorder="1" applyAlignment="1">
      <alignment horizontal="center" vertical="center"/>
    </xf>
    <xf numFmtId="0" fontId="6" fillId="2" borderId="5" xfId="31" applyFont="1" applyFill="1" applyBorder="1" applyAlignment="1">
      <alignment horizontal="center" vertical="center"/>
    </xf>
    <xf numFmtId="0" fontId="6" fillId="2" borderId="6" xfId="31" applyFont="1" applyFill="1" applyBorder="1" applyAlignment="1">
      <alignment horizontal="center" vertical="center"/>
    </xf>
    <xf numFmtId="49" fontId="9" fillId="5" borderId="7" xfId="31" applyNumberFormat="1" applyFont="1" applyFill="1" applyBorder="1">
      <alignment vertical="center"/>
    </xf>
    <xf numFmtId="10" fontId="9" fillId="5" borderId="8" xfId="31" applyNumberFormat="1" applyFont="1" applyFill="1" applyBorder="1" applyAlignment="1">
      <alignment horizontal="center" vertical="center"/>
    </xf>
    <xf numFmtId="10" fontId="9" fillId="5" borderId="9" xfId="31" applyNumberFormat="1" applyFont="1" applyFill="1" applyBorder="1" applyAlignment="1">
      <alignment horizontal="center" vertical="center"/>
    </xf>
    <xf numFmtId="0" fontId="8" fillId="3" borderId="0" xfId="31" applyFont="1" applyFill="1">
      <alignment vertical="center"/>
    </xf>
    <xf numFmtId="49" fontId="7" fillId="4" borderId="8" xfId="31" applyNumberFormat="1" applyFont="1" applyFill="1" applyBorder="1">
      <alignment vertical="center"/>
    </xf>
    <xf numFmtId="10" fontId="1" fillId="0" borderId="0" xfId="31" applyNumberFormat="1" applyFont="1">
      <alignment vertical="center"/>
    </xf>
    <xf numFmtId="14" fontId="1" fillId="0" borderId="0" xfId="31" applyNumberFormat="1" applyFont="1">
      <alignment vertical="center"/>
    </xf>
    <xf numFmtId="177" fontId="1" fillId="0" borderId="0" xfId="31" applyNumberFormat="1" applyFont="1">
      <alignment vertical="center"/>
    </xf>
    <xf numFmtId="0" fontId="2" fillId="0" borderId="0" xfId="31" applyFont="1">
      <alignment vertical="center"/>
    </xf>
    <xf numFmtId="0" fontId="10" fillId="2" borderId="13" xfId="31" applyFont="1" applyFill="1" applyBorder="1" applyAlignment="1">
      <alignment horizontal="left" vertical="top" wrapText="1"/>
    </xf>
    <xf numFmtId="0" fontId="10" fillId="2" borderId="20" xfId="31" applyFont="1" applyFill="1" applyBorder="1" applyAlignment="1">
      <alignment horizontal="left" vertical="top" wrapText="1"/>
    </xf>
    <xf numFmtId="0" fontId="10" fillId="2" borderId="21" xfId="31" applyFont="1" applyFill="1" applyBorder="1" applyAlignment="1">
      <alignment horizontal="left" vertical="top" wrapText="1"/>
    </xf>
    <xf numFmtId="14" fontId="7" fillId="4" borderId="8" xfId="31" applyNumberFormat="1" applyFont="1" applyFill="1" applyBorder="1" applyAlignment="1">
      <alignment horizontal="center" vertical="center"/>
    </xf>
    <xf numFmtId="14" fontId="9" fillId="5" borderId="13" xfId="31" applyNumberFormat="1" applyFont="1" applyFill="1" applyBorder="1" applyAlignment="1">
      <alignment horizontal="center" vertical="center"/>
    </xf>
    <xf numFmtId="0" fontId="5" fillId="2" borderId="1" xfId="31" applyFont="1" applyFill="1" applyBorder="1" applyAlignment="1">
      <alignment horizontal="center" vertical="center" wrapText="1"/>
    </xf>
    <xf numFmtId="0" fontId="5" fillId="2" borderId="2" xfId="31" applyFont="1" applyFill="1" applyBorder="1" applyAlignment="1">
      <alignment horizontal="center" vertical="center" wrapText="1"/>
    </xf>
    <xf numFmtId="0" fontId="5" fillId="2" borderId="3" xfId="31" applyFont="1" applyFill="1" applyBorder="1" applyAlignment="1">
      <alignment horizontal="center" vertical="center" wrapText="1"/>
    </xf>
    <xf numFmtId="0" fontId="3" fillId="3" borderId="4" xfId="31" applyFont="1" applyFill="1" applyBorder="1" applyAlignment="1">
      <alignment horizontal="center" vertical="center"/>
    </xf>
    <xf numFmtId="0" fontId="3" fillId="3" borderId="5" xfId="31" applyFont="1" applyFill="1" applyBorder="1" applyAlignment="1">
      <alignment horizontal="center" vertical="center"/>
    </xf>
    <xf numFmtId="0" fontId="3" fillId="3" borderId="6" xfId="31" applyFont="1" applyFill="1" applyBorder="1" applyAlignment="1">
      <alignment horizontal="center" vertical="center"/>
    </xf>
    <xf numFmtId="49" fontId="7" fillId="3" borderId="10" xfId="31" applyNumberFormat="1" applyFont="1" applyFill="1" applyBorder="1" applyAlignment="1">
      <alignment horizontal="center" vertical="center"/>
    </xf>
    <xf numFmtId="49" fontId="7" fillId="3" borderId="11" xfId="31" applyNumberFormat="1" applyFont="1" applyFill="1" applyBorder="1" applyAlignment="1">
      <alignment horizontal="center" vertical="center"/>
    </xf>
    <xf numFmtId="49" fontId="7" fillId="3" borderId="12" xfId="31" applyNumberFormat="1" applyFont="1" applyFill="1" applyBorder="1" applyAlignment="1">
      <alignment horizontal="center" vertical="center"/>
    </xf>
    <xf numFmtId="0" fontId="3" fillId="0" borderId="14" xfId="31" applyFont="1" applyBorder="1" applyAlignment="1">
      <alignment horizontal="center" vertical="center"/>
    </xf>
    <xf numFmtId="0" fontId="3" fillId="0" borderId="15" xfId="31" applyFont="1" applyBorder="1" applyAlignment="1">
      <alignment horizontal="center" vertical="center"/>
    </xf>
    <xf numFmtId="0" fontId="3" fillId="0" borderId="16" xfId="31" applyFont="1" applyBorder="1" applyAlignment="1">
      <alignment horizontal="center" vertical="center"/>
    </xf>
    <xf numFmtId="0" fontId="3" fillId="0" borderId="17" xfId="31" applyFont="1" applyBorder="1" applyAlignment="1">
      <alignment horizontal="center" vertical="center" wrapText="1"/>
    </xf>
    <xf numFmtId="0" fontId="3" fillId="0" borderId="18" xfId="31" applyFont="1" applyBorder="1" applyAlignment="1">
      <alignment horizontal="center" vertical="center" wrapText="1"/>
    </xf>
    <xf numFmtId="0" fontId="3" fillId="0" borderId="19" xfId="31" applyFont="1" applyBorder="1" applyAlignment="1">
      <alignment horizontal="center" vertical="center" wrapText="1"/>
    </xf>
  </cellXfs>
  <cellStyles count="57">
    <cellStyle name="百分比 2" xfId="3" xr:uid="{00000000-0005-0000-0000-00000F000000}"/>
    <cellStyle name="百分比 2 2" xfId="5" xr:uid="{00000000-0005-0000-0000-000017000000}"/>
    <cellStyle name="百分比 2 3" xfId="6" xr:uid="{00000000-0005-0000-0000-000019000000}"/>
    <cellStyle name="常规" xfId="0" builtinId="0"/>
    <cellStyle name="常规 10" xfId="10" xr:uid="{00000000-0005-0000-0000-000038000000}"/>
    <cellStyle name="常规 10 2" xfId="11" xr:uid="{00000000-0005-0000-0000-00003A000000}"/>
    <cellStyle name="常规 11" xfId="12" xr:uid="{00000000-0005-0000-0000-00003C000000}"/>
    <cellStyle name="常规 11 2" xfId="13" xr:uid="{00000000-0005-0000-0000-00003D000000}"/>
    <cellStyle name="常规 12" xfId="4" xr:uid="{00000000-0005-0000-0000-000015000000}"/>
    <cellStyle name="常规 12 2" xfId="14" xr:uid="{00000000-0005-0000-0000-00003E000000}"/>
    <cellStyle name="常规 14" xfId="15" xr:uid="{00000000-0005-0000-0000-00003F000000}"/>
    <cellStyle name="常规 14 2" xfId="16" xr:uid="{00000000-0005-0000-0000-000040000000}"/>
    <cellStyle name="常规 18 2" xfId="17" xr:uid="{00000000-0005-0000-0000-000041000000}"/>
    <cellStyle name="常规 18 2 2" xfId="7" xr:uid="{00000000-0005-0000-0000-000025000000}"/>
    <cellStyle name="常规 2" xfId="18" xr:uid="{00000000-0005-0000-0000-000042000000}"/>
    <cellStyle name="常规 2 2" xfId="8" xr:uid="{00000000-0005-0000-0000-000033000000}"/>
    <cellStyle name="常规 2 3" xfId="19" xr:uid="{00000000-0005-0000-0000-000043000000}"/>
    <cellStyle name="常规 2 3 2" xfId="20" xr:uid="{00000000-0005-0000-0000-000044000000}"/>
    <cellStyle name="常规 2 3 2 2" xfId="21" xr:uid="{00000000-0005-0000-0000-000045000000}"/>
    <cellStyle name="常规 2 3 2 2 2" xfId="22" xr:uid="{00000000-0005-0000-0000-000046000000}"/>
    <cellStyle name="常规 2 3 2 3" xfId="23" xr:uid="{00000000-0005-0000-0000-000047000000}"/>
    <cellStyle name="常规 2 3 3" xfId="24" xr:uid="{00000000-0005-0000-0000-000048000000}"/>
    <cellStyle name="常规 2 4" xfId="25" xr:uid="{00000000-0005-0000-0000-000049000000}"/>
    <cellStyle name="常规 2 4 2" xfId="26" xr:uid="{00000000-0005-0000-0000-00004A000000}"/>
    <cellStyle name="常规 2 5" xfId="27" xr:uid="{00000000-0005-0000-0000-00004B000000}"/>
    <cellStyle name="常规 2 5 2" xfId="28" xr:uid="{00000000-0005-0000-0000-00004C000000}"/>
    <cellStyle name="常规 2 6" xfId="29" xr:uid="{00000000-0005-0000-0000-00004D000000}"/>
    <cellStyle name="常规 2 6 2" xfId="30" xr:uid="{00000000-0005-0000-0000-00004E000000}"/>
    <cellStyle name="常规 2 7" xfId="31" xr:uid="{00000000-0005-0000-0000-00004F000000}"/>
    <cellStyle name="常规 2 8" xfId="32" xr:uid="{00000000-0005-0000-0000-000050000000}"/>
    <cellStyle name="常规 2 8 2" xfId="33" xr:uid="{00000000-0005-0000-0000-000051000000}"/>
    <cellStyle name="常规 21" xfId="34" xr:uid="{00000000-0005-0000-0000-000052000000}"/>
    <cellStyle name="常规 21 2" xfId="9" xr:uid="{00000000-0005-0000-0000-000037000000}"/>
    <cellStyle name="常规 3" xfId="35" xr:uid="{00000000-0005-0000-0000-000053000000}"/>
    <cellStyle name="常规 3 2" xfId="36" xr:uid="{00000000-0005-0000-0000-000054000000}"/>
    <cellStyle name="常规 36" xfId="37" xr:uid="{00000000-0005-0000-0000-000055000000}"/>
    <cellStyle name="常规 36 2" xfId="39" xr:uid="{00000000-0005-0000-0000-000057000000}"/>
    <cellStyle name="常规 39" xfId="2" xr:uid="{00000000-0005-0000-0000-000004000000}"/>
    <cellStyle name="常规 39 2" xfId="41" xr:uid="{00000000-0005-0000-0000-000059000000}"/>
    <cellStyle name="常规 4" xfId="43" xr:uid="{00000000-0005-0000-0000-00005B000000}"/>
    <cellStyle name="常规 41" xfId="38" xr:uid="{00000000-0005-0000-0000-000056000000}"/>
    <cellStyle name="常规 41 2" xfId="40" xr:uid="{00000000-0005-0000-0000-000058000000}"/>
    <cellStyle name="常规 43" xfId="44" xr:uid="{00000000-0005-0000-0000-00005C000000}"/>
    <cellStyle name="常规 43 2" xfId="45" xr:uid="{00000000-0005-0000-0000-00005D000000}"/>
    <cellStyle name="常规 44" xfId="1" xr:uid="{00000000-0005-0000-0000-000003000000}"/>
    <cellStyle name="常规 44 2" xfId="42" xr:uid="{00000000-0005-0000-0000-00005A000000}"/>
    <cellStyle name="常规 45" xfId="46" xr:uid="{00000000-0005-0000-0000-00005E000000}"/>
    <cellStyle name="常规 45 2" xfId="47" xr:uid="{00000000-0005-0000-0000-00005F000000}"/>
    <cellStyle name="常规 5" xfId="48" xr:uid="{00000000-0005-0000-0000-000060000000}"/>
    <cellStyle name="常规 9" xfId="49" xr:uid="{00000000-0005-0000-0000-000061000000}"/>
    <cellStyle name="常规 9 2" xfId="50" xr:uid="{00000000-0005-0000-0000-000062000000}"/>
    <cellStyle name="千位分隔 2" xfId="51" xr:uid="{00000000-0005-0000-0000-000063000000}"/>
    <cellStyle name="千位分隔 2 2" xfId="52" xr:uid="{00000000-0005-0000-0000-000064000000}"/>
    <cellStyle name="千位分隔 2 2 2" xfId="53" xr:uid="{00000000-0005-0000-0000-000065000000}"/>
    <cellStyle name="千位分隔 2 3" xfId="54" xr:uid="{00000000-0005-0000-0000-000066000000}"/>
    <cellStyle name="千位分隔 3" xfId="55" xr:uid="{00000000-0005-0000-0000-000067000000}"/>
    <cellStyle name="千位分隔 3 2" xfId="56" xr:uid="{00000000-0005-0000-0000-000068000000}"/>
  </cellStyles>
  <dxfs count="5">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1086969</xdr:colOff>
      <xdr:row>0</xdr:row>
      <xdr:rowOff>22412</xdr:rowOff>
    </xdr:from>
    <xdr:to>
      <xdr:col>4</xdr:col>
      <xdr:colOff>1467970</xdr:colOff>
      <xdr:row>0</xdr:row>
      <xdr:rowOff>471357</xdr:rowOff>
    </xdr:to>
    <xdr:pic>
      <xdr:nvPicPr>
        <xdr:cNvPr id="9" name="图片 223" descr="logo.JP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stretch>
          <a:fillRect/>
        </a:stretch>
      </xdr:blipFill>
      <xdr:spPr>
        <a:xfrm>
          <a:off x="8030210" y="22225"/>
          <a:ext cx="1895475" cy="448945"/>
        </a:xfrm>
        <a:prstGeom prst="rect">
          <a:avLst/>
        </a:prstGeom>
        <a:noFill/>
        <a:ln w="9525">
          <a:noFill/>
        </a:ln>
      </xdr:spPr>
    </xdr:pic>
    <xdr:clientData/>
  </xdr:twoCellAnchor>
  <xdr:twoCellAnchor editAs="oneCell">
    <xdr:from>
      <xdr:col>0</xdr:col>
      <xdr:colOff>0</xdr:colOff>
      <xdr:row>1</xdr:row>
      <xdr:rowOff>0</xdr:rowOff>
    </xdr:from>
    <xdr:to>
      <xdr:col>5</xdr:col>
      <xdr:colOff>0</xdr:colOff>
      <xdr:row>2</xdr:row>
      <xdr:rowOff>133351</xdr:rowOff>
    </xdr:to>
    <xdr:pic>
      <xdr:nvPicPr>
        <xdr:cNvPr id="4" name="展示图_2">
          <a:extLst>
            <a:ext uri="{FF2B5EF4-FFF2-40B4-BE49-F238E27FC236}">
              <a16:creationId xmlns:a16="http://schemas.microsoft.com/office/drawing/2014/main" id="{7BA592A6-6F56-83F2-E82B-0EE1677D31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68350"/>
          <a:ext cx="9144000" cy="5334001"/>
        </a:xfrm>
        <a:prstGeom prst="rect">
          <a:avLst/>
        </a:prstGeom>
      </xdr:spPr>
    </xdr:pic>
    <xdr:clientData/>
  </xdr:twoCellAnchor>
  <xdr:twoCellAnchor editAs="oneCell">
    <xdr:from>
      <xdr:col>0</xdr:col>
      <xdr:colOff>0</xdr:colOff>
      <xdr:row>12</xdr:row>
      <xdr:rowOff>0</xdr:rowOff>
    </xdr:from>
    <xdr:to>
      <xdr:col>5</xdr:col>
      <xdr:colOff>0</xdr:colOff>
      <xdr:row>13</xdr:row>
      <xdr:rowOff>133351</xdr:rowOff>
    </xdr:to>
    <xdr:pic>
      <xdr:nvPicPr>
        <xdr:cNvPr id="6" name="展示图_13">
          <a:extLst>
            <a:ext uri="{FF2B5EF4-FFF2-40B4-BE49-F238E27FC236}">
              <a16:creationId xmlns:a16="http://schemas.microsoft.com/office/drawing/2014/main" id="{F203C5A1-C14D-A9FD-020B-AAD86CA7FA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144000"/>
          <a:ext cx="9144000" cy="5334001"/>
        </a:xfrm>
        <a:prstGeom prst="rect">
          <a:avLst/>
        </a:prstGeom>
      </xdr:spPr>
    </xdr:pic>
    <xdr:clientData/>
  </xdr:twoCellAnchor>
  <xdr:twoCellAnchor editAs="oneCell">
    <xdr:from>
      <xdr:col>0</xdr:col>
      <xdr:colOff>0</xdr:colOff>
      <xdr:row>17</xdr:row>
      <xdr:rowOff>0</xdr:rowOff>
    </xdr:from>
    <xdr:to>
      <xdr:col>5</xdr:col>
      <xdr:colOff>0</xdr:colOff>
      <xdr:row>18</xdr:row>
      <xdr:rowOff>133351</xdr:rowOff>
    </xdr:to>
    <xdr:pic>
      <xdr:nvPicPr>
        <xdr:cNvPr id="10" name="展示图_18">
          <a:extLst>
            <a:ext uri="{FF2B5EF4-FFF2-40B4-BE49-F238E27FC236}">
              <a16:creationId xmlns:a16="http://schemas.microsoft.com/office/drawing/2014/main" id="{64F6601C-8270-5D76-4498-F37A6EA7886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5614650"/>
          <a:ext cx="9144000" cy="53340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eiyc/Desktop/&#24453;&#30475;&#36164;&#26009;/2&#21608;&#25253;/4&#21608;&#22235;-&#31169;&#34892;&#20135;&#21697;&#21040;&#26399;&#21382;&#21490;&#25910;&#30410;/28&#26085;&#24180;&#21270;&#25910;&#304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6年5月7日"/>
      <sheetName val="2026年4月30日"/>
      <sheetName val="2026年5月6日"/>
      <sheetName val="2026年3月30日"/>
      <sheetName val="2026年4月29日"/>
      <sheetName val="2026年3月26日"/>
      <sheetName val="2026年4月23日"/>
      <sheetName val="2026年4月15日"/>
      <sheetName val="2026年4月22日"/>
      <sheetName val="2026年4月9日"/>
      <sheetName val="2026年3月19日"/>
      <sheetName val="2026年4月16日"/>
      <sheetName val="2026年4月8日"/>
      <sheetName val="2026年4月1日"/>
      <sheetName val="2026年3月25日"/>
      <sheetName val="2026年3月18日"/>
      <sheetName val="2026年3月11日"/>
      <sheetName val="2026年3月4日"/>
      <sheetName val="2026年2月25日"/>
      <sheetName val="2026年2月18日"/>
      <sheetName val="2026年2月11日"/>
      <sheetName val="2026年2月4日"/>
      <sheetName val="2026年1月28日"/>
      <sheetName val="2025年12月31日"/>
      <sheetName val="2026年1月21日"/>
      <sheetName val="2026年1月14日"/>
      <sheetName val="2025年10月17日"/>
      <sheetName val="2025年10月10日"/>
      <sheetName val="2025年10月3日"/>
      <sheetName val="2025年9月26日"/>
      <sheetName val="2025年9月19日"/>
      <sheetName val="2025年9月12日"/>
      <sheetName val="渠道标签"/>
      <sheetName val="操作说明"/>
      <sheetName val="成立不足28天"/>
      <sheetName val="表一求年化率"/>
      <sheetName val="表一公式"/>
      <sheetName val="偏离度"/>
      <sheetName val="表二申购赎回"/>
      <sheetName val="表二公式"/>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简化估值表</v>
          </cell>
          <cell r="M1" t="str">
            <v>近28日年化收益率</v>
          </cell>
          <cell r="N1" t="str">
            <v>近7日年化收益率</v>
          </cell>
        </row>
        <row r="2">
          <cell r="A2" t="str">
            <v>交银国信·汇益固收稳健日开1001号组合投资集合资金信托计划</v>
          </cell>
          <cell r="M2">
            <v>1.8786667560001899E-2</v>
          </cell>
          <cell r="N2">
            <v>1.83322302360805E-2</v>
          </cell>
        </row>
        <row r="3">
          <cell r="A3" t="str">
            <v>交银国信·汇益7天300号组合投资集合资金信托计划</v>
          </cell>
          <cell r="M3">
            <v>2.2213811424592899E-2</v>
          </cell>
          <cell r="N3">
            <v>2.1954035959058999E-2</v>
          </cell>
        </row>
        <row r="4">
          <cell r="A4" t="str">
            <v>交银国信·汇益7天301号组合投资集合资金信托计划</v>
          </cell>
          <cell r="M4">
            <v>2.2329231887562199E-2</v>
          </cell>
          <cell r="N4">
            <v>2.2072969160233401E-2</v>
          </cell>
        </row>
        <row r="5">
          <cell r="A5" t="str">
            <v>交银国信·汇益7天302号组合投资集合资金信托计划</v>
          </cell>
          <cell r="M5">
            <v>2.2331938778866502E-2</v>
          </cell>
          <cell r="N5">
            <v>2.2187382510319001E-2</v>
          </cell>
        </row>
        <row r="6">
          <cell r="A6" t="str">
            <v>交银国信·汇益7天303号组合投资集合资金信托计划</v>
          </cell>
          <cell r="M6">
            <v>2.24701597208147E-2</v>
          </cell>
          <cell r="N6">
            <v>2.23157623901966E-2</v>
          </cell>
        </row>
        <row r="7">
          <cell r="A7" t="str">
            <v>交银国信·汇益7天304号组合投资集合资金信托计划</v>
          </cell>
          <cell r="M7">
            <v>2.2500037103521001E-2</v>
          </cell>
          <cell r="N7">
            <v>2.232607377444E-2</v>
          </cell>
        </row>
        <row r="8">
          <cell r="A8" t="str">
            <v>交银国信·汇益稳健日开701号组合投资集合资金信托计划</v>
          </cell>
          <cell r="M8">
            <v>1.9161762354537301E-2</v>
          </cell>
          <cell r="N8">
            <v>1.8741393647165702E-2</v>
          </cell>
        </row>
        <row r="9">
          <cell r="A9" t="str">
            <v>交银国信·汇益7天700号组合投资集合资金信托计划</v>
          </cell>
          <cell r="M9">
            <v>2.2277027749619399E-2</v>
          </cell>
          <cell r="N9">
            <v>2.1672842180512301E-2</v>
          </cell>
        </row>
        <row r="10">
          <cell r="A10" t="str">
            <v>交银国信·汇益28天800号组合投资集合资金信托计划</v>
          </cell>
          <cell r="M10">
            <v>2.2716207885927198E-2</v>
          </cell>
          <cell r="N10">
            <v>2.2409122191487801E-2</v>
          </cell>
        </row>
        <row r="11">
          <cell r="A11" t="str">
            <v>交银国信·汇益28天801号组合投资集合资金信托计划</v>
          </cell>
          <cell r="M11">
            <v>2.3990285662003001E-2</v>
          </cell>
          <cell r="N11">
            <v>2.3305349008243999E-2</v>
          </cell>
        </row>
        <row r="12">
          <cell r="A12" t="str">
            <v>交银国信·汇益绿色月月增利1号组合投资集合资金信托计划</v>
          </cell>
          <cell r="M12">
            <v>2.44461663865559E-2</v>
          </cell>
          <cell r="N12">
            <v>2.4123416047016E-2</v>
          </cell>
        </row>
        <row r="13">
          <cell r="A13" t="str">
            <v>交银国信·汇益绿色月月增利2号组合投资集合资金信托计划</v>
          </cell>
          <cell r="M13">
            <v>2.4389714407041799E-2</v>
          </cell>
          <cell r="N13">
            <v>2.3960176961788E-2</v>
          </cell>
        </row>
        <row r="14">
          <cell r="A14" t="str">
            <v>交银国信·圆融安享汇益固收稳健日开1号组合投资集合资金信托计划</v>
          </cell>
          <cell r="M14">
            <v>1.8429896062811701E-2</v>
          </cell>
          <cell r="N14">
            <v>1.8026749523399201E-2</v>
          </cell>
        </row>
        <row r="15">
          <cell r="A15" t="str">
            <v>交银国信·圆融安享汇益固收稳健日开2号组合投资集合资金信托计划</v>
          </cell>
          <cell r="M15">
            <v>1.8167935248987299E-2</v>
          </cell>
          <cell r="N15">
            <v>1.8099026568258101E-2</v>
          </cell>
        </row>
        <row r="16">
          <cell r="A16" t="str">
            <v>交银国信·圆融安享汇益固收稳健日开3号组合投资集合资金信托计划</v>
          </cell>
          <cell r="M16">
            <v>1.8202794115746102E-2</v>
          </cell>
          <cell r="N16">
            <v>1.8540933690010201E-2</v>
          </cell>
        </row>
        <row r="17">
          <cell r="A17" t="str">
            <v>交银国信·圆融安享汇益固收稳健日开4号组合投资集合资金信托计划</v>
          </cell>
          <cell r="M17">
            <v>1.8455782428366499E-2</v>
          </cell>
          <cell r="N17">
            <v>1.8273282375313501E-2</v>
          </cell>
        </row>
        <row r="18">
          <cell r="A18" t="str">
            <v>交银国信·圆融安享汇益固收稳健日开5号组合投资集合资金信托计划</v>
          </cell>
          <cell r="M18">
            <v>1.84747092848771E-2</v>
          </cell>
          <cell r="N18">
            <v>1.8413651504568002E-2</v>
          </cell>
        </row>
        <row r="19">
          <cell r="A19" t="str">
            <v>交银国信·圆融安享汇益固收稳健日开6号组合投资集合资金信托计划</v>
          </cell>
          <cell r="M19">
            <v>1.7820881062604401E-2</v>
          </cell>
          <cell r="N19">
            <v>1.8157532697634302E-2</v>
          </cell>
        </row>
        <row r="20">
          <cell r="A20" t="str">
            <v>交银国信·圆融安享汇益固收稳健日开7号组合投资集合资金信托计划</v>
          </cell>
          <cell r="M20">
            <v>1.8479061190421101E-2</v>
          </cell>
          <cell r="N20">
            <v>1.8116024444325599E-2</v>
          </cell>
        </row>
        <row r="21">
          <cell r="A21" t="str">
            <v>交银国信·圆融安享汇益固收稳健日开8号组合投资集合资金信托计划</v>
          </cell>
          <cell r="M21">
            <v>1.8712860038830499E-2</v>
          </cell>
          <cell r="N21">
            <v>1.8759873096803902E-2</v>
          </cell>
        </row>
        <row r="22">
          <cell r="A22" t="str">
            <v>交银国信·圆融安享汇益固收稳健日开9号组合投资集合资金信托计划</v>
          </cell>
          <cell r="M22">
            <v>1.8235253912549401E-2</v>
          </cell>
          <cell r="N22">
            <v>1.8241540187618501E-2</v>
          </cell>
        </row>
        <row r="23">
          <cell r="A23" t="str">
            <v>交银国信·圆融安享汇益固收稳健7天1号组合投资集合资金信托计划</v>
          </cell>
          <cell r="M23">
            <v>1.9659947716508901E-2</v>
          </cell>
          <cell r="N23">
            <v>1.9400936884920499E-2</v>
          </cell>
        </row>
        <row r="24">
          <cell r="A24" t="str">
            <v>交银国信·圆融安享汇益固收稳健7天2号组合投资集合资金信托计划</v>
          </cell>
          <cell r="M24">
            <v>2.0109272311619499E-2</v>
          </cell>
          <cell r="N24">
            <v>2.0227091643884199E-2</v>
          </cell>
        </row>
        <row r="25">
          <cell r="A25" t="str">
            <v>交银国信·圆融安享汇益固收稳健7天3号组合投资集合资金信托计划</v>
          </cell>
          <cell r="M25">
            <v>1.9853159317288101E-2</v>
          </cell>
          <cell r="N25">
            <v>1.94265251041871E-2</v>
          </cell>
        </row>
        <row r="26">
          <cell r="A26" t="str">
            <v>交银国信·圆融安享汇益固收稳健28天1号组合投资集合资金信托计划</v>
          </cell>
          <cell r="M26">
            <v>2.0862107200044298E-2</v>
          </cell>
          <cell r="N26">
            <v>2.0597486515488098E-2</v>
          </cell>
        </row>
        <row r="27">
          <cell r="A27" t="str">
            <v>交银国信·汇益固收稳健日开1号组合投资集合资金信托计划</v>
          </cell>
          <cell r="M27">
            <v>1.8032547777647599E-2</v>
          </cell>
          <cell r="N27">
            <v>1.7618845104189301E-2</v>
          </cell>
        </row>
        <row r="28">
          <cell r="A28" t="str">
            <v>交银国信·汇益固收稳健日开2号组合投资集合资金信托计划</v>
          </cell>
          <cell r="M28">
            <v>1.8103429886639402E-2</v>
          </cell>
          <cell r="N28">
            <v>1.7420416784040299E-2</v>
          </cell>
        </row>
        <row r="29">
          <cell r="A29" t="str">
            <v>交银国信·汇益固收稳健日开3号组合投资集合资金信托计划</v>
          </cell>
          <cell r="M29">
            <v>1.8502114052869102E-2</v>
          </cell>
          <cell r="N29">
            <v>1.77762823108021E-2</v>
          </cell>
        </row>
        <row r="30">
          <cell r="A30" t="str">
            <v>交银国信·汇益固收稳健日开4号组合投资集合资金信托计划</v>
          </cell>
          <cell r="M30">
            <v>1.8338746892406999E-2</v>
          </cell>
          <cell r="N30">
            <v>1.7846813482094999E-2</v>
          </cell>
        </row>
        <row r="31">
          <cell r="A31" t="str">
            <v>交银国信·汇益固收稳健日开5号组合投资集合资金信托计划</v>
          </cell>
          <cell r="M31">
            <v>1.8165943236808101E-2</v>
          </cell>
          <cell r="N31">
            <v>1.7435463041005E-2</v>
          </cell>
        </row>
        <row r="32">
          <cell r="A32" t="str">
            <v>交银国信·汇益固收稳健日开6号组合投资集合资金信托计划</v>
          </cell>
          <cell r="M32">
            <v>1.8219352439850699E-2</v>
          </cell>
          <cell r="N32">
            <v>1.7409686074326799E-2</v>
          </cell>
        </row>
        <row r="33">
          <cell r="A33" t="str">
            <v>交银国信·汇益固收稳健日开7号组合投资集合资金信托计划</v>
          </cell>
          <cell r="M33">
            <v>1.8368265089370901E-2</v>
          </cell>
          <cell r="N33">
            <v>1.7633030279921399E-2</v>
          </cell>
        </row>
        <row r="34">
          <cell r="A34" t="str">
            <v>交银国信·汇益固收稳健日开8号组合投资集合资金信托计划</v>
          </cell>
          <cell r="M34">
            <v>1.8434654715373099E-2</v>
          </cell>
          <cell r="N34">
            <v>1.73896887489359E-2</v>
          </cell>
        </row>
        <row r="35">
          <cell r="A35" t="str">
            <v>交银国信·汇益固收稳健日开9号组合投资集合资金信托计划</v>
          </cell>
          <cell r="M35">
            <v>1.93038877284918E-2</v>
          </cell>
          <cell r="N35">
            <v>1.8441997453067901E-2</v>
          </cell>
        </row>
        <row r="36">
          <cell r="A36" t="str">
            <v>交银国信·汇益固收稳健日开201号组合投资集合资金信托计划</v>
          </cell>
          <cell r="M36">
            <v>1.8303921037849401E-2</v>
          </cell>
          <cell r="N36">
            <v>1.69003965509078E-2</v>
          </cell>
        </row>
        <row r="37">
          <cell r="A37" t="str">
            <v>交银国信·汇益固收稳健日开202号组合投资集合资金信托计划</v>
          </cell>
          <cell r="M37">
            <v>1.67815720027766E-2</v>
          </cell>
          <cell r="N37">
            <v>1.6493550801189399E-2</v>
          </cell>
        </row>
        <row r="38">
          <cell r="A38" t="str">
            <v>交银国信·汇益固收稳健日开203号组合投资集合资金信托计划</v>
          </cell>
          <cell r="M38">
            <v>1.9771660545034701E-2</v>
          </cell>
          <cell r="N38">
            <v>1.84029849369408E-2</v>
          </cell>
        </row>
        <row r="39">
          <cell r="A39" t="str">
            <v>交银国信·汇益7天1号组合投资集合资金信托计划</v>
          </cell>
          <cell r="M39">
            <v>2.0272050761414199E-2</v>
          </cell>
          <cell r="N39">
            <v>1.9815338895492401E-2</v>
          </cell>
        </row>
        <row r="40">
          <cell r="A40" t="str">
            <v>交银国信·汇益7天2号组合投资集合资金信托计划</v>
          </cell>
          <cell r="M40">
            <v>2.0360647778113899E-2</v>
          </cell>
          <cell r="N40">
            <v>2.00286790522721E-2</v>
          </cell>
        </row>
        <row r="41">
          <cell r="A41" t="str">
            <v>交银国信·汇益7天3号组合投资集合资金信托计划</v>
          </cell>
          <cell r="M41">
            <v>2.04689840700404E-2</v>
          </cell>
          <cell r="N41">
            <v>2.0250764211196901E-2</v>
          </cell>
        </row>
        <row r="42">
          <cell r="A42" t="str">
            <v>交银国信·汇益7天4号组合投资集合资金信托计划</v>
          </cell>
          <cell r="M42">
            <v>2.0567282606256499E-2</v>
          </cell>
          <cell r="N42">
            <v>2.02847974779857E-2</v>
          </cell>
        </row>
        <row r="43">
          <cell r="A43" t="str">
            <v>交银国信·汇益7天5号组合投资集合资金信托计划</v>
          </cell>
          <cell r="M43">
            <v>2.0573473850640699E-2</v>
          </cell>
          <cell r="N43">
            <v>2.0134512293713599E-2</v>
          </cell>
        </row>
        <row r="44">
          <cell r="A44" t="str">
            <v>交银国信·汇益7天6号组合投资集合资金信托计划</v>
          </cell>
          <cell r="M44">
            <v>2.05151252374439E-2</v>
          </cell>
          <cell r="N44">
            <v>2.0192740484581199E-2</v>
          </cell>
        </row>
        <row r="45">
          <cell r="A45" t="str">
            <v>交银国信·汇益7天7号组合投资集合资金信托计划</v>
          </cell>
          <cell r="M45">
            <v>2.07007846198363E-2</v>
          </cell>
          <cell r="N45">
            <v>2.0376072246590399E-2</v>
          </cell>
        </row>
        <row r="46">
          <cell r="A46" t="str">
            <v>交银国信·汇益7天8号组合投资集合资金信托计划</v>
          </cell>
          <cell r="M46">
            <v>2.0297736709942601E-2</v>
          </cell>
          <cell r="N46">
            <v>1.99190549081446E-2</v>
          </cell>
        </row>
        <row r="47">
          <cell r="A47" t="str">
            <v>交银国信·汇益7天9号组合投资集合资金信托计划</v>
          </cell>
          <cell r="M47">
            <v>2.0500079873557699E-2</v>
          </cell>
          <cell r="N47">
            <v>2.0173119048177202E-2</v>
          </cell>
        </row>
        <row r="48">
          <cell r="A48" t="str">
            <v>交银国信·汇益7天10号组合投资集合资金信托计划</v>
          </cell>
          <cell r="M48">
            <v>2.0353412144422201E-2</v>
          </cell>
          <cell r="N48">
            <v>1.9600466014089501E-2</v>
          </cell>
        </row>
        <row r="49">
          <cell r="A49" t="str">
            <v>交银国信·汇益固收稳健7天1号组合投资集合资金信托计划</v>
          </cell>
          <cell r="M49">
            <v>1.9775831785554799E-2</v>
          </cell>
          <cell r="N49">
            <v>1.9695580823816401E-2</v>
          </cell>
        </row>
        <row r="50">
          <cell r="A50" t="str">
            <v>交银国信·汇益固收稳健7天2号组合投资集合资金信托计划</v>
          </cell>
          <cell r="M50">
            <v>2.02962332336609E-2</v>
          </cell>
          <cell r="N50">
            <v>1.9840780246161802E-2</v>
          </cell>
        </row>
        <row r="51">
          <cell r="A51" t="str">
            <v>交银国信·汇益固收稳健7天3号组合投资集合资金信托计划</v>
          </cell>
          <cell r="M51">
            <v>2.0415302335323099E-2</v>
          </cell>
          <cell r="N51">
            <v>1.88898647074007E-2</v>
          </cell>
        </row>
        <row r="52">
          <cell r="A52" t="str">
            <v>交银国信·汇益固收稳健7天4号组合投资集合资金信托计划</v>
          </cell>
          <cell r="M52">
            <v>2.1449105336519898E-2</v>
          </cell>
          <cell r="N52">
            <v>2.2259005872318501E-2</v>
          </cell>
        </row>
        <row r="53">
          <cell r="A53" t="str">
            <v>交银国信·汇益固收稳健7天201号组合投资集合资金信托计划</v>
          </cell>
          <cell r="M53">
            <v>2.19697574443747E-2</v>
          </cell>
          <cell r="N53">
            <v>2.15194444523895E-2</v>
          </cell>
        </row>
        <row r="54">
          <cell r="A54" t="str">
            <v>交银国信·汇益固收稳健7天202号组合投资集合资金信托计划</v>
          </cell>
          <cell r="M54">
            <v>2.09934726719837E-2</v>
          </cell>
          <cell r="N54">
            <v>2.06808182499096E-2</v>
          </cell>
        </row>
        <row r="55">
          <cell r="A55" t="str">
            <v>交银国信·汇益固收稳健7天203号组合投资集合资金信托计划</v>
          </cell>
          <cell r="M55">
            <v>1.9669719721004699E-2</v>
          </cell>
          <cell r="N55">
            <v>1.927994271205E-2</v>
          </cell>
        </row>
        <row r="56">
          <cell r="A56" t="str">
            <v>交银国信·汇益固收稳健7天204号组合投资集合资金信托计划</v>
          </cell>
          <cell r="M56">
            <v>2.04183349385972E-2</v>
          </cell>
          <cell r="N56">
            <v>1.9573509414938E-2</v>
          </cell>
        </row>
        <row r="57">
          <cell r="A57" t="str">
            <v>交银国信·汇益固收稳健7天205号组合投资集合资金信托计划</v>
          </cell>
          <cell r="M57">
            <v>2.1449486660828299E-2</v>
          </cell>
          <cell r="N57">
            <v>2.05356515333701E-2</v>
          </cell>
        </row>
        <row r="58">
          <cell r="A58" t="str">
            <v>交银国信·汇益28天1号组合投资集合资金信托计划</v>
          </cell>
          <cell r="M58">
            <v>2.1468337017843502E-2</v>
          </cell>
          <cell r="N58">
            <v>2.1362384667568301E-2</v>
          </cell>
        </row>
        <row r="59">
          <cell r="A59" t="str">
            <v>交银国信·汇益28天2号组合投资集合资金信托计划</v>
          </cell>
          <cell r="M59">
            <v>2.1410537302306E-2</v>
          </cell>
          <cell r="N59">
            <v>2.1280533438160901E-2</v>
          </cell>
        </row>
        <row r="60">
          <cell r="A60" t="str">
            <v>交银国信·汇益28天3号组合投资集合资金信托计划</v>
          </cell>
          <cell r="M60">
            <v>2.16919985297452E-2</v>
          </cell>
          <cell r="N60">
            <v>2.1614016803551499E-2</v>
          </cell>
        </row>
        <row r="61">
          <cell r="A61" t="str">
            <v>交银国信·汇益28天4号组合投资集合资金信托计划</v>
          </cell>
          <cell r="M61">
            <v>2.1899484495707701E-2</v>
          </cell>
          <cell r="N61">
            <v>2.1763875920322601E-2</v>
          </cell>
        </row>
        <row r="62">
          <cell r="A62" t="str">
            <v>交银国信·汇益28天6号组合投资集合资金信托计划</v>
          </cell>
          <cell r="M62">
            <v>2.1527582764905202E-2</v>
          </cell>
          <cell r="N62">
            <v>2.14106127428591E-2</v>
          </cell>
        </row>
        <row r="63">
          <cell r="A63" t="str">
            <v>交银国信·汇益28天7号组合投资集合资金信托计划</v>
          </cell>
          <cell r="M63">
            <v>2.1748134921111099E-2</v>
          </cell>
          <cell r="N63">
            <v>2.16270255920686E-2</v>
          </cell>
        </row>
        <row r="64">
          <cell r="A64" t="str">
            <v>交银国信·汇益28天5号组合投资集合资金信托计划</v>
          </cell>
          <cell r="M64">
            <v>2.1683559189080201E-2</v>
          </cell>
          <cell r="N64">
            <v>2.1597241630807E-2</v>
          </cell>
        </row>
        <row r="65">
          <cell r="A65" t="str">
            <v>交银国信·汇益28天8号组合投资集合资金信托计划</v>
          </cell>
          <cell r="M65">
            <v>2.19924382388944E-2</v>
          </cell>
          <cell r="N65">
            <v>2.1819381342820798E-2</v>
          </cell>
        </row>
        <row r="66">
          <cell r="A66" t="str">
            <v>交银国信·汇益28天9号组合投资集合资金信托计划</v>
          </cell>
          <cell r="M66">
            <v>2.1429352952373699E-2</v>
          </cell>
          <cell r="N66">
            <v>2.1312869074011601E-2</v>
          </cell>
        </row>
        <row r="67">
          <cell r="A67" t="str">
            <v>交银国信·汇益28天10号组合投资集合资金信托计划</v>
          </cell>
          <cell r="M67">
            <v>2.1328396034542299E-2</v>
          </cell>
          <cell r="N67">
            <v>2.1183385226321499E-2</v>
          </cell>
        </row>
        <row r="68">
          <cell r="A68" t="str">
            <v>交银国信·汇益28天11号组合投资集合资金信托计划</v>
          </cell>
          <cell r="M68">
            <v>2.1363205957604599E-2</v>
          </cell>
          <cell r="N68">
            <v>2.12263044030346E-2</v>
          </cell>
        </row>
        <row r="69">
          <cell r="A69" t="str">
            <v>交银国信·汇益28天12号组合投资集合资金信托计划</v>
          </cell>
          <cell r="M69">
            <v>2.1455117409018499E-2</v>
          </cell>
          <cell r="N69">
            <v>2.1320877558190499E-2</v>
          </cell>
        </row>
        <row r="70">
          <cell r="A70" t="str">
            <v>交银国信·汇益28天13号组合投资集合资金信托计划</v>
          </cell>
          <cell r="M70">
            <v>2.1645145329530199E-2</v>
          </cell>
          <cell r="N70">
            <v>2.1522025937093601E-2</v>
          </cell>
        </row>
        <row r="71">
          <cell r="A71" t="str">
            <v>交银国信·汇益28天16号组合投资集合资金信托计划</v>
          </cell>
          <cell r="M71">
            <v>2.17754156015273E-2</v>
          </cell>
          <cell r="N71">
            <v>2.16515362884818E-2</v>
          </cell>
        </row>
        <row r="72">
          <cell r="A72" t="str">
            <v>交银国信·汇益28天15号组合投资集合资金信托计划</v>
          </cell>
          <cell r="M72">
            <v>2.17550311203096E-2</v>
          </cell>
          <cell r="N72">
            <v>2.1596449487881499E-2</v>
          </cell>
        </row>
        <row r="73">
          <cell r="A73" t="str">
            <v>交银国信·汇益28天14号组合投资集合资金信托计划</v>
          </cell>
          <cell r="M73">
            <v>2.1363284192789999E-2</v>
          </cell>
          <cell r="N73">
            <v>2.1208890279680301E-2</v>
          </cell>
        </row>
        <row r="74">
          <cell r="A74" t="str">
            <v>交银国信·汇益28天19号组合投资集合资金信托计划</v>
          </cell>
          <cell r="M74">
            <v>2.1583942299378801E-2</v>
          </cell>
          <cell r="N74">
            <v>2.1436079098031701E-2</v>
          </cell>
        </row>
        <row r="75">
          <cell r="A75" t="str">
            <v>交银国信·汇益28天17号组合投资集合资金信托计划</v>
          </cell>
          <cell r="M75">
            <v>2.17700322551262E-2</v>
          </cell>
          <cell r="N75">
            <v>2.17981746618547E-2</v>
          </cell>
        </row>
        <row r="76">
          <cell r="A76" t="str">
            <v>交银国信·汇益固收稳健28天1号组合投资集合资金信托计划</v>
          </cell>
          <cell r="M76">
            <v>2.15482493996094E-2</v>
          </cell>
          <cell r="N76">
            <v>2.0478277977761999E-2</v>
          </cell>
        </row>
        <row r="77">
          <cell r="A77" t="str">
            <v>交银国信·汇益固收稳健28天2号组合投资集合资金信托计划</v>
          </cell>
          <cell r="M77">
            <v>2.2411185478237599E-2</v>
          </cell>
          <cell r="N77">
            <v>2.3707848673949001E-2</v>
          </cell>
        </row>
        <row r="78">
          <cell r="A78" t="str">
            <v>交银国信·汇益固收稳健28天3号组合投资集合资金信托计划</v>
          </cell>
          <cell r="M78">
            <v>2.1675537353515101E-2</v>
          </cell>
          <cell r="N78">
            <v>2.1710361491725401E-2</v>
          </cell>
        </row>
        <row r="79">
          <cell r="A79" t="str">
            <v>交银国信·汇益固收稳健28天4号组合投资集合资金信托计划</v>
          </cell>
          <cell r="M79">
            <v>2.18639811056669E-2</v>
          </cell>
          <cell r="N79">
            <v>2.1693294164065801E-2</v>
          </cell>
        </row>
        <row r="80">
          <cell r="A80" t="str">
            <v>交银国信·汇益固收稳健28天5号组合投资集合资金信托计划</v>
          </cell>
          <cell r="M80">
            <v>2.21139024755805E-2</v>
          </cell>
          <cell r="N80">
            <v>2.1895811744033902E-2</v>
          </cell>
        </row>
        <row r="81">
          <cell r="A81" t="str">
            <v>交银国信·汇益固收稳健28天6号组合投资集合资金信托计划</v>
          </cell>
          <cell r="M81">
            <v>2.12431120904077E-2</v>
          </cell>
          <cell r="N81">
            <v>1.96249675972795E-2</v>
          </cell>
        </row>
        <row r="82">
          <cell r="A82" t="str">
            <v>交银国信·蓝色港湾2个月定开1号集合资金信托计划</v>
          </cell>
          <cell r="M82">
            <v>2.09764756966619E-2</v>
          </cell>
          <cell r="N82">
            <v>1.8622448979589801E-2</v>
          </cell>
        </row>
        <row r="83">
          <cell r="A83" t="str">
            <v>交银国信·蓝色港湾2个月定开2号集合资金信托计划</v>
          </cell>
          <cell r="M83">
            <v>2.3332225318980299E-2</v>
          </cell>
          <cell r="N83">
            <v>2.3300946082246601E-2</v>
          </cell>
        </row>
        <row r="84">
          <cell r="A84" t="str">
            <v>交银国信·蓝色港湾2个月定开3号集合资金信托计划</v>
          </cell>
          <cell r="M84">
            <v>2.33656825339923E-2</v>
          </cell>
          <cell r="N84">
            <v>2.33343135876002E-2</v>
          </cell>
        </row>
        <row r="85">
          <cell r="A85" t="str">
            <v>交银国信·蓝色港湾2个月定开4号集合资金信托计划</v>
          </cell>
          <cell r="M85">
            <v>2.1064984032934799E-2</v>
          </cell>
          <cell r="N85">
            <v>1.8700926080104499E-2</v>
          </cell>
        </row>
        <row r="86">
          <cell r="A86" t="str">
            <v>交银国信·蓝色港湾2个月定开5号集合资金信托计划</v>
          </cell>
          <cell r="M86">
            <v>2.2457028871935202E-2</v>
          </cell>
          <cell r="N86">
            <v>2.36090089390797E-2</v>
          </cell>
        </row>
        <row r="87">
          <cell r="A87" t="str">
            <v>交银国信·蓝色港湾2个月定开6号集合资金信托计划</v>
          </cell>
          <cell r="M87">
            <v>2.3707764455241101E-2</v>
          </cell>
          <cell r="N87">
            <v>2.36754709148435E-2</v>
          </cell>
        </row>
        <row r="88">
          <cell r="A88" t="str">
            <v>交银国信·蓝色港湾2个月定开7号集合资金信托计划</v>
          </cell>
          <cell r="M88">
            <v>2.3844364890642601E-2</v>
          </cell>
          <cell r="N88">
            <v>2.38116983938494E-2</v>
          </cell>
        </row>
        <row r="89">
          <cell r="A89" t="str">
            <v>交银国信·汇益稳享91天1号组合投资集合资金信托计划</v>
          </cell>
          <cell r="M89">
            <v>2.4450197230922101E-2</v>
          </cell>
          <cell r="N89">
            <v>2.4015130082057599E-2</v>
          </cell>
        </row>
        <row r="90">
          <cell r="A90" t="str">
            <v>交银国信·汇益稳享91天2号组合投资集合资金信托计划</v>
          </cell>
          <cell r="M90">
            <v>2.5377474616392798E-2</v>
          </cell>
          <cell r="N90">
            <v>2.44032218882928E-2</v>
          </cell>
        </row>
        <row r="91">
          <cell r="A91" t="str">
            <v>交银国信·汇益稳享91天3号组合投资集合资金信托计划</v>
          </cell>
          <cell r="M91">
            <v>2.5053727885991299E-2</v>
          </cell>
          <cell r="N91">
            <v>2.5015424082642301E-2</v>
          </cell>
        </row>
        <row r="92">
          <cell r="A92" t="str">
            <v>交银国信·汇益稳享91天4号组合投资集合资金信托计划</v>
          </cell>
          <cell r="M92">
            <v>2.3936792080501899E-2</v>
          </cell>
          <cell r="N92">
            <v>2.3900993835622698E-2</v>
          </cell>
        </row>
        <row r="93">
          <cell r="A93" t="str">
            <v>交银国信·汇益稳享91天5号组合投资集合资金信托计划</v>
          </cell>
          <cell r="M93">
            <v>2.3811049287513798E-2</v>
          </cell>
          <cell r="N93">
            <v>2.4203057439638E-2</v>
          </cell>
        </row>
        <row r="94">
          <cell r="A94" t="str">
            <v>交银国信·汇益稳享91天6号组合投资集合资金信托计划</v>
          </cell>
          <cell r="M94">
            <v>2.3370347459944301E-2</v>
          </cell>
          <cell r="N94">
            <v>2.42945599541423E-2</v>
          </cell>
        </row>
        <row r="95">
          <cell r="A95" t="str">
            <v>交银国信·汇益稳享91天7号组合投资集合资金信托计划</v>
          </cell>
          <cell r="M95">
            <v>2.22552887259014E-2</v>
          </cell>
          <cell r="N95">
            <v>2.2134394710487199E-2</v>
          </cell>
        </row>
        <row r="96">
          <cell r="A96" t="str">
            <v>交银国信·汇益稳享91天8号组合投资集合资金信托计划</v>
          </cell>
          <cell r="M96">
            <v>2.2492479045427099E-2</v>
          </cell>
          <cell r="N96">
            <v>2.0977425448186302E-2</v>
          </cell>
        </row>
        <row r="97">
          <cell r="A97" t="str">
            <v>交银国信·汇益稳享91天9号组合投资集合资金信托计划</v>
          </cell>
          <cell r="M97">
            <v>2.39058340052269E-2</v>
          </cell>
          <cell r="N97">
            <v>2.4263823476315099E-2</v>
          </cell>
        </row>
        <row r="98">
          <cell r="A98" t="str">
            <v>交银国信·汇益稳享91天10号组合投资集合资金信托计划</v>
          </cell>
          <cell r="M98">
            <v>2.23926535888542E-2</v>
          </cell>
          <cell r="N98">
            <v>2.10044391323485E-2</v>
          </cell>
        </row>
        <row r="99">
          <cell r="A99" t="str">
            <v>交银国信·汇益稳享91天201号组合投资集合资金信托计划</v>
          </cell>
          <cell r="M99">
            <v>2.58552491565185E-2</v>
          </cell>
          <cell r="N99">
            <v>2.4761893392504099E-2</v>
          </cell>
        </row>
        <row r="100">
          <cell r="A100" t="str">
            <v>交银国信·蓝色港湾5个月定开1号集合资金信托计划</v>
          </cell>
          <cell r="M100">
            <v>2.2758299313477299E-2</v>
          </cell>
          <cell r="N100">
            <v>2.3925326760977601E-2</v>
          </cell>
        </row>
        <row r="101">
          <cell r="A101" t="str">
            <v>交银国信·蓝色港湾5个月定开2号集合资金信托计划</v>
          </cell>
          <cell r="M101">
            <v>2.5186309688103699E-2</v>
          </cell>
          <cell r="N101">
            <v>2.3951702867639601E-2</v>
          </cell>
        </row>
        <row r="102">
          <cell r="A102" t="str">
            <v>交银国信·蓝色港湾5个月定开3号集合资金信托计划</v>
          </cell>
          <cell r="M102">
            <v>2.1640031093134799E-2</v>
          </cell>
          <cell r="N102">
            <v>1.9210779089196401E-2</v>
          </cell>
        </row>
        <row r="103">
          <cell r="A103" t="str">
            <v>交银国信·蓝色港湾5个月定开4号集合资金信托计划</v>
          </cell>
          <cell r="M103">
            <v>2.17161367091958E-2</v>
          </cell>
          <cell r="N103">
            <v>1.92782538655519E-2</v>
          </cell>
        </row>
        <row r="104">
          <cell r="A104" t="str">
            <v>交银国信·蓝色港湾5个月定开5号集合资金信托计划</v>
          </cell>
          <cell r="M104">
            <v>2.4171545124632501E-2</v>
          </cell>
          <cell r="N104">
            <v>2.4137976642371699E-2</v>
          </cell>
        </row>
        <row r="105">
          <cell r="A105" t="str">
            <v>交银国信·蓝色港湾5个月定开6号集合资金信托计划</v>
          </cell>
          <cell r="M105">
            <v>2.17483415648216E-2</v>
          </cell>
          <cell r="N105">
            <v>1.9306806310414301E-2</v>
          </cell>
        </row>
        <row r="106">
          <cell r="A106" t="str">
            <v>交银国信·蓝色港湾5个月定开7号集合资金信托计划</v>
          </cell>
          <cell r="M106">
            <v>2.29672265790591E-2</v>
          </cell>
          <cell r="N106">
            <v>1.9313957641578401E-2</v>
          </cell>
        </row>
        <row r="107">
          <cell r="A107" t="str">
            <v>交银国信·蓝色港湾5个月定开8号集合资金信托计划</v>
          </cell>
          <cell r="M107">
            <v>2.3001353215877901E-2</v>
          </cell>
          <cell r="N107">
            <v>1.93426160225731E-2</v>
          </cell>
        </row>
        <row r="108">
          <cell r="A108" t="str">
            <v>交银国信·蓝色港湾5个月定开501号集合资金信托计划</v>
          </cell>
          <cell r="M108">
            <v>2.62011868300152E-2</v>
          </cell>
          <cell r="N108">
            <v>2.4915356050674398E-2</v>
          </cell>
        </row>
        <row r="109">
          <cell r="A109" t="str">
            <v>交银国信·汇益稳享161天1号组合投资集合资金信托计划</v>
          </cell>
          <cell r="M109">
            <v>2.39875235879453E-2</v>
          </cell>
          <cell r="N109">
            <v>2.6440906668747498E-2</v>
          </cell>
        </row>
        <row r="110">
          <cell r="A110" t="str">
            <v>交银国信·汇益稳享161天2号组合投资集合资金信托计划</v>
          </cell>
          <cell r="M110">
            <v>2.58135152342002E-2</v>
          </cell>
          <cell r="N110">
            <v>2.5772617585380499E-2</v>
          </cell>
        </row>
        <row r="111">
          <cell r="A111" t="str">
            <v>交银国信·汇益稳享161天3号组合投资集合资金信托计划</v>
          </cell>
          <cell r="M111">
            <v>2.3596335151135201E-2</v>
          </cell>
          <cell r="N111">
            <v>2.3496587899662299E-2</v>
          </cell>
        </row>
        <row r="112">
          <cell r="A112" t="str">
            <v>交银国信·汇益稳享161天4号组合投资集合资金信托计划</v>
          </cell>
          <cell r="M112">
            <v>2.3942813268928002E-2</v>
          </cell>
          <cell r="N112">
            <v>2.4685409910985501E-2</v>
          </cell>
        </row>
        <row r="113">
          <cell r="A113" t="str">
            <v>交银国信·汇益稳享161天5号组合投资集合资金信托计划</v>
          </cell>
          <cell r="M113">
            <v>2.3562159748761798E-2</v>
          </cell>
          <cell r="N113">
            <v>2.3448404400936599E-2</v>
          </cell>
        </row>
        <row r="114">
          <cell r="A114" t="str">
            <v>交银国信·汇益稳享161天6号组合投资集合资金信托计划</v>
          </cell>
          <cell r="M114">
            <v>2.2763474597864899E-2</v>
          </cell>
          <cell r="N114">
            <v>2.26138314894846E-2</v>
          </cell>
        </row>
        <row r="115">
          <cell r="A115" t="str">
            <v>交银国信·汇益稳享161天7号组合投资集合资金信托计划</v>
          </cell>
          <cell r="M115">
            <v>2.3418534354368199E-2</v>
          </cell>
          <cell r="N115">
            <v>2.3047363678020402E-2</v>
          </cell>
        </row>
        <row r="116">
          <cell r="A116" t="str">
            <v>交银国信·汇益稳享161天8号组合投资集合资金信托计划</v>
          </cell>
          <cell r="M116">
            <v>2.3212316441050401E-2</v>
          </cell>
          <cell r="N116">
            <v>2.2948639545238101E-2</v>
          </cell>
        </row>
        <row r="117">
          <cell r="A117" t="str">
            <v>交银国信·汇益稳享161天9号组合投资集合资金信托计划</v>
          </cell>
          <cell r="M117">
            <v>2.20740488543828E-2</v>
          </cell>
          <cell r="N117">
            <v>2.1886123342199498E-2</v>
          </cell>
        </row>
        <row r="118">
          <cell r="A118" t="str">
            <v>交银国信·汇益稳享161天10号组合投资集合资金信托计划</v>
          </cell>
          <cell r="M118">
            <v>2.1502399614315399E-2</v>
          </cell>
          <cell r="N118">
            <v>2.1419239165543402E-2</v>
          </cell>
        </row>
        <row r="119">
          <cell r="A119" t="str">
            <v>交银国信·汇益稳享161天11号组合投资集合资金信托计划</v>
          </cell>
          <cell r="M119">
            <v>2.33195909482844E-2</v>
          </cell>
          <cell r="N119">
            <v>2.3419155750472601E-2</v>
          </cell>
        </row>
        <row r="120">
          <cell r="A120" t="str">
            <v>交银国信·汇益稳享161天12号组合投资集合资金信托计划</v>
          </cell>
          <cell r="M120">
            <v>2.24223962308054E-2</v>
          </cell>
          <cell r="N120">
            <v>2.3753055313859898E-2</v>
          </cell>
        </row>
        <row r="121">
          <cell r="A121" t="str">
            <v>交银国信·汇益稳享161天201号组合投资集合资金信托计划</v>
          </cell>
          <cell r="M121">
            <v>2.70406513782258E-2</v>
          </cell>
          <cell r="N121">
            <v>2.75862983032421E-2</v>
          </cell>
        </row>
        <row r="122">
          <cell r="A122" t="str">
            <v>交银国信·汇益稳享161天202号组合投资集合资金信托计划</v>
          </cell>
          <cell r="M122">
            <v>2.5224070257902399E-2</v>
          </cell>
          <cell r="N122">
            <v>2.5890232676084601E-2</v>
          </cell>
        </row>
        <row r="123">
          <cell r="A123" t="str">
            <v>交银国信·汇益慈善189天1号集合资金信托计划</v>
          </cell>
          <cell r="M123">
            <v>2.4638389899691301E-2</v>
          </cell>
          <cell r="N123">
            <v>2.38572915794871E-2</v>
          </cell>
        </row>
        <row r="124">
          <cell r="A124" t="str">
            <v>交银国信·汇益慈善189天2号集合资金信托计划</v>
          </cell>
          <cell r="M124" t="e">
            <v>#DIV/0!</v>
          </cell>
          <cell r="N124" t="e">
            <v>#DIV/0!</v>
          </cell>
        </row>
        <row r="125">
          <cell r="A125" t="str">
            <v>交银国信·汇益慈善189天3号集合资金信托计划</v>
          </cell>
          <cell r="M125">
            <v>2.5209553697474602E-2</v>
          </cell>
          <cell r="N125">
            <v>2.5858602132774199E-2</v>
          </cell>
        </row>
        <row r="126">
          <cell r="A126" t="str">
            <v>交银国信·汇益慈善189天4号集合资金信托计划</v>
          </cell>
          <cell r="M126">
            <v>2.5560576535331201E-2</v>
          </cell>
          <cell r="N126">
            <v>2.5521259155819199E-2</v>
          </cell>
        </row>
        <row r="127">
          <cell r="A127" t="str">
            <v>交银国信·汇益慈善189天5号集合资金信托计划</v>
          </cell>
          <cell r="M127">
            <v>2.4321379743056301E-2</v>
          </cell>
          <cell r="N127">
            <v>2.1579230032122199E-2</v>
          </cell>
        </row>
        <row r="128">
          <cell r="A128" t="str">
            <v>交银国信·汇益慈善189天7号集合资金信托计划</v>
          </cell>
          <cell r="M128">
            <v>2.40482951747002E-2</v>
          </cell>
          <cell r="N128">
            <v>2.315296283374E-2</v>
          </cell>
        </row>
        <row r="129">
          <cell r="A129" t="str">
            <v>交银国信·汇益慈善189天8号集合资金信托计划</v>
          </cell>
          <cell r="M129" t="e">
            <v>#VALUE!</v>
          </cell>
          <cell r="N129" t="e">
            <v>#N/A</v>
          </cell>
        </row>
        <row r="130">
          <cell r="A130" t="str">
            <v>交银国信·汇益固收稳健日开101号组合投资集合资金信托计划</v>
          </cell>
          <cell r="M130">
            <v>1.8786071149019999E-2</v>
          </cell>
          <cell r="N130">
            <v>1.7971923701034499E-2</v>
          </cell>
        </row>
        <row r="131">
          <cell r="A131" t="str">
            <v>交银国信·汇益固收稳健日开102号组合投资集合资金信托计划</v>
          </cell>
          <cell r="M131">
            <v>2.19026338511196E-2</v>
          </cell>
          <cell r="N131">
            <v>2.1221728382821201E-2</v>
          </cell>
        </row>
        <row r="132">
          <cell r="A132" t="str">
            <v>交银国信·汇益7天101号组合投资集合资金信托计划</v>
          </cell>
          <cell r="M132">
            <v>2.5693321569208599E-2</v>
          </cell>
          <cell r="N132">
            <v>2.39006279432733E-2</v>
          </cell>
        </row>
        <row r="133">
          <cell r="A133" t="str">
            <v>交银国信·汇益7天102号组合投资集合资金信托计划</v>
          </cell>
          <cell r="M133">
            <v>2.53353152588306E-2</v>
          </cell>
          <cell r="N133">
            <v>2.5376017618370699E-2</v>
          </cell>
        </row>
        <row r="134">
          <cell r="A134" t="str">
            <v>交银国信·汇益28天101号组合投资集合资金信托计划</v>
          </cell>
          <cell r="M134">
            <v>2.4800977577429099E-2</v>
          </cell>
          <cell r="N134">
            <v>2.4643496650644098E-2</v>
          </cell>
        </row>
        <row r="135">
          <cell r="A135" t="str">
            <v>交银国信·汇益28天102号组合投资集合资金信托计划</v>
          </cell>
          <cell r="M135">
            <v>2.4004682447614299E-2</v>
          </cell>
          <cell r="N135">
            <v>2.3904311326901899E-2</v>
          </cell>
        </row>
        <row r="136">
          <cell r="A136" t="str">
            <v>交银国信·汇益28天103号组合投资集合资金信托计划</v>
          </cell>
          <cell r="M136">
            <v>2.59205681261181E-2</v>
          </cell>
          <cell r="N136">
            <v>2.5881969817625399E-2</v>
          </cell>
        </row>
        <row r="137">
          <cell r="A137" t="str">
            <v>交银国信·汇益28天104号组合投资集合资金信托计划</v>
          </cell>
          <cell r="M137" t="e">
            <v>#VALUE!</v>
          </cell>
          <cell r="N137" t="e">
            <v>#N/A</v>
          </cell>
        </row>
        <row r="138">
          <cell r="A138" t="str">
            <v>交银国信·汇益固收稳健28天101号组合投资集合资金信托计划</v>
          </cell>
          <cell r="M138">
            <v>2.4559000016572598E-2</v>
          </cell>
          <cell r="N138">
            <v>2.2682052101946501E-2</v>
          </cell>
        </row>
        <row r="139">
          <cell r="A139" t="str">
            <v>交银国信·汇益固收稳健28天102号组合投资集合资金信托计划</v>
          </cell>
          <cell r="M139">
            <v>2.4946892817196999E-2</v>
          </cell>
          <cell r="N139">
            <v>2.2926593895193199E-2</v>
          </cell>
        </row>
        <row r="140">
          <cell r="A140" t="str">
            <v>交银国信·汇益稳享273天101号组合投资集合资金信托计划</v>
          </cell>
          <cell r="M140">
            <v>3.4046081369102303E-2</v>
          </cell>
          <cell r="N140">
            <v>3.3979521750441E-2</v>
          </cell>
        </row>
        <row r="141">
          <cell r="A141" t="str">
            <v>交银国信·汇益稳享273天102号组合投资集合资金信托计划</v>
          </cell>
          <cell r="M141">
            <v>2.7583481305387701E-2</v>
          </cell>
          <cell r="N141">
            <v>2.7540895437928301E-2</v>
          </cell>
        </row>
        <row r="142">
          <cell r="A142" t="str">
            <v>交银国信·汇益稳享364天101号组合投资集合资金信托计划</v>
          </cell>
          <cell r="M142">
            <v>2.6114326543381399E-2</v>
          </cell>
          <cell r="N142">
            <v>2.8453716760290501E-2</v>
          </cell>
        </row>
        <row r="143">
          <cell r="A143" t="str">
            <v>交银国信·汇益稳享364天102号组合投资集合资金信托计划</v>
          </cell>
          <cell r="M143">
            <v>2.5631865505977101E-2</v>
          </cell>
          <cell r="N143">
            <v>2.5432180291791302E-2</v>
          </cell>
        </row>
        <row r="144">
          <cell r="A144" t="str">
            <v>交银国信·汇益稳享364天103号组合投资集合资金信托计划</v>
          </cell>
          <cell r="M144">
            <v>2.6860459621081599E-2</v>
          </cell>
          <cell r="N144">
            <v>2.6690551304316999E-2</v>
          </cell>
        </row>
        <row r="145">
          <cell r="A145" t="str">
            <v>交银国信·汇益稳享364天104号组合投资集合资金信托计划</v>
          </cell>
          <cell r="M145">
            <v>2.7800382432715199E-2</v>
          </cell>
          <cell r="N145">
            <v>2.7675788063533002E-2</v>
          </cell>
        </row>
        <row r="146">
          <cell r="A146" t="str">
            <v>交银国信·汇益稳享728天101号组合投资集合资金信托计划</v>
          </cell>
          <cell r="M146">
            <v>3.3919843585842303E-2</v>
          </cell>
          <cell r="N146">
            <v>3.38538978470364E-2</v>
          </cell>
        </row>
        <row r="147">
          <cell r="A147" t="str">
            <v>交银国信·汇益稳享728天102号组合投资集合资金信托计划</v>
          </cell>
          <cell r="M147">
            <v>3.25342702572596E-2</v>
          </cell>
          <cell r="N147">
            <v>3.2334486787821998E-2</v>
          </cell>
        </row>
        <row r="148">
          <cell r="A148" t="str">
            <v>交银国信·汇益稳享728天103号组合投资集合资金信托计划</v>
          </cell>
          <cell r="M148">
            <v>3.3110837720596802E-2</v>
          </cell>
          <cell r="N148">
            <v>3.2901080615967998E-2</v>
          </cell>
        </row>
        <row r="149">
          <cell r="A149" t="str">
            <v>交银国信·汇益稳享728天104号组合投资集合资金信托计划</v>
          </cell>
          <cell r="M149">
            <v>3.2623692721919E-2</v>
          </cell>
          <cell r="N149">
            <v>3.2521136960224302E-2</v>
          </cell>
        </row>
        <row r="150">
          <cell r="A150" t="str">
            <v>交银国信·汇益稳享728天105号组合投资集合资金信托计划</v>
          </cell>
          <cell r="M150">
            <v>2.9671136945783601E-2</v>
          </cell>
          <cell r="N150">
            <v>2.44708244958451E-2</v>
          </cell>
        </row>
        <row r="151">
          <cell r="A151" t="str">
            <v>交银国信·汇益稳享728天106号组合投资集合资金信托计划</v>
          </cell>
          <cell r="M151">
            <v>3.0044559698452499E-2</v>
          </cell>
          <cell r="N151">
            <v>2.5461656014853101E-2</v>
          </cell>
        </row>
        <row r="152">
          <cell r="A152" t="str">
            <v>交银国信·汇益稳享728天107号组合投资集合资金信托计划</v>
          </cell>
          <cell r="M152">
            <v>2.91952651428306E-2</v>
          </cell>
          <cell r="N152">
            <v>2.8328332429178999E-2</v>
          </cell>
        </row>
        <row r="153">
          <cell r="A153" t="str">
            <v>交银国信·斗金宝汇益固收稳健1号组合投资集合资金信托计划</v>
          </cell>
          <cell r="M153">
            <v>1.7778097851580101E-2</v>
          </cell>
          <cell r="N153">
            <v>1.6214405868946999E-2</v>
          </cell>
        </row>
        <row r="154">
          <cell r="A154" t="str">
            <v>交银国信·斗金宝汇益固收稳健2号组合投资集合资金信托计划</v>
          </cell>
          <cell r="M154">
            <v>1.8034042839882199E-2</v>
          </cell>
          <cell r="N154">
            <v>1.6227376460822701E-2</v>
          </cell>
        </row>
        <row r="155">
          <cell r="A155" t="str">
            <v>交银国信·斗金宝汇益固收稳健3号组合投资集合资金信托计划</v>
          </cell>
          <cell r="M155" t="e">
            <v>#VALUE!</v>
          </cell>
          <cell r="N155" t="e">
            <v>#N/A</v>
          </cell>
        </row>
        <row r="156">
          <cell r="A156" t="str">
            <v>交银国信·斗金宝汇益固收稳健4号组合投资集合资金信托计划</v>
          </cell>
          <cell r="M156" t="e">
            <v>#VALUE!</v>
          </cell>
          <cell r="N156" t="e">
            <v>#N/A</v>
          </cell>
        </row>
        <row r="157">
          <cell r="A157" t="str">
            <v>交银国信·汇益固收稳健日开700号组合投资集合资金信托计划</v>
          </cell>
          <cell r="M157">
            <v>1.7151276337493401E-2</v>
          </cell>
          <cell r="N157">
            <v>1.6767758333322499E-2</v>
          </cell>
        </row>
        <row r="158">
          <cell r="A158" t="str">
            <v>交银国信·汇益固收稳健28天700号组合投资集合资金信托计划</v>
          </cell>
          <cell r="M158" t="e">
            <v>#DIV/0!</v>
          </cell>
          <cell r="N158" t="e">
            <v>#DIV/0!</v>
          </cell>
        </row>
        <row r="159">
          <cell r="A159" t="str">
            <v>交银国信·财赢汇益28天300号组合投资集合资金信托计划</v>
          </cell>
          <cell r="M159">
            <v>2.2772339026949001E-2</v>
          </cell>
          <cell r="N159">
            <v>2.2356555809711E-2</v>
          </cell>
        </row>
        <row r="160">
          <cell r="A160" t="str">
            <v>交银国信·财赢汇益28天301号组合投资集合资金信托计划</v>
          </cell>
          <cell r="M160">
            <v>2.2232412191487898E-2</v>
          </cell>
          <cell r="N160">
            <v>2.1932610725326498E-2</v>
          </cell>
        </row>
        <row r="161">
          <cell r="A161" t="str">
            <v>交银国信·财赢汇益28天302号组合投资集合资金信托计划</v>
          </cell>
          <cell r="M161">
            <v>2.3145132806192799E-2</v>
          </cell>
          <cell r="N161">
            <v>2.2801809971809101E-2</v>
          </cell>
        </row>
        <row r="162">
          <cell r="A162" t="str">
            <v>交银国信·中邮汇益固收稳健28天1号组合投资集合资金信托计划</v>
          </cell>
          <cell r="M162">
            <v>2.2569154513482299E-2</v>
          </cell>
          <cell r="N162">
            <v>2.2198009013949901E-2</v>
          </cell>
        </row>
        <row r="163">
          <cell r="A163" t="str">
            <v>交银国信·财赢汇益28天303号组合投资集合资金信托计划</v>
          </cell>
          <cell r="M163">
            <v>2.21284571422364E-2</v>
          </cell>
          <cell r="N163">
            <v>2.2980336669145798E-2</v>
          </cell>
        </row>
        <row r="164">
          <cell r="A164" t="str">
            <v>交银国信·南银汇益固收稳健28天1号组合投资集合资金信托计划</v>
          </cell>
          <cell r="M164">
            <v>2.3125289016215099E-2</v>
          </cell>
          <cell r="N164">
            <v>2.3017163216468201E-2</v>
          </cell>
        </row>
        <row r="165">
          <cell r="A165" t="str">
            <v>交银国信·南银汇益固收稳健28天2号组合投资集合资金信托计划</v>
          </cell>
          <cell r="M165">
            <v>2.4942170165878502E-2</v>
          </cell>
          <cell r="N165">
            <v>2.4836838563985299E-2</v>
          </cell>
        </row>
        <row r="166">
          <cell r="A166" t="str">
            <v>交银国信·南银汇益固收稳健28天3号组合投资集合资金信托计划</v>
          </cell>
          <cell r="M166">
            <v>2.3293294108508101E-2</v>
          </cell>
          <cell r="N166">
            <v>2.3931020837619998E-2</v>
          </cell>
        </row>
        <row r="167">
          <cell r="A167" t="str">
            <v>交银国信·南银汇益固收稳健28天4号组合投资集合资金信托计划</v>
          </cell>
          <cell r="M167">
            <v>2.5938208327801901E-2</v>
          </cell>
          <cell r="N167">
            <v>2.5543216641940099E-2</v>
          </cell>
        </row>
        <row r="168">
          <cell r="A168" t="str">
            <v>交银国信·南银汇益固收稳健28天5号组合投资集合资金信托计划</v>
          </cell>
          <cell r="M168">
            <v>2.2953330250130698E-2</v>
          </cell>
          <cell r="N168">
            <v>2.33285677412924E-2</v>
          </cell>
        </row>
        <row r="169">
          <cell r="A169" t="str">
            <v>交银国信·南银汇益固收稳健28天6号组合投资集合资金信托计划</v>
          </cell>
          <cell r="M169">
            <v>2.3302225048323799E-2</v>
          </cell>
          <cell r="N169">
            <v>2.3522242391986602E-2</v>
          </cell>
        </row>
        <row r="170">
          <cell r="A170" t="str">
            <v>交银国信·汇益慧选1号集合资金信托计划</v>
          </cell>
          <cell r="M170">
            <v>2.7125445897740699E-2</v>
          </cell>
          <cell r="N170">
            <v>2.5792865622712002E-2</v>
          </cell>
        </row>
        <row r="171">
          <cell r="A171" t="str">
            <v>交银国信·汇益慧选2号集合资金信托计划</v>
          </cell>
          <cell r="M171" t="e">
            <v>#DIV/0!</v>
          </cell>
          <cell r="N171" t="e">
            <v>#DIV/0!</v>
          </cell>
        </row>
        <row r="172">
          <cell r="A172" t="str">
            <v>交银国信·汇益慧选3号集合资金信托计划</v>
          </cell>
          <cell r="M172" t="e">
            <v>#DIV/0!</v>
          </cell>
          <cell r="N172" t="e">
            <v>#DIV/0!</v>
          </cell>
        </row>
        <row r="173">
          <cell r="A173" t="str">
            <v>交银国信·汇益慧选4号集合资金信托计划</v>
          </cell>
          <cell r="M173" t="e">
            <v>#DIV/0!</v>
          </cell>
          <cell r="N173" t="e">
            <v>#DIV/0!</v>
          </cell>
        </row>
        <row r="174">
          <cell r="A174" t="str">
            <v>交银国信·汇益364天101号组合投资集合资金信托计划</v>
          </cell>
          <cell r="M174">
            <v>2.7536108845677601E-2</v>
          </cell>
          <cell r="N174">
            <v>2.8040301505352801E-2</v>
          </cell>
        </row>
        <row r="175">
          <cell r="A175" t="str">
            <v>交银国信·交鑫致远6个月102号集合资金信托计划</v>
          </cell>
          <cell r="M175">
            <v>3.573248553813E-2</v>
          </cell>
          <cell r="N175">
            <v>2.3228602337368499E-2</v>
          </cell>
        </row>
        <row r="176">
          <cell r="A176" t="str">
            <v>交银国信·交鑫致远6个月101号集合资金信托计划</v>
          </cell>
          <cell r="M176">
            <v>3.6145781992139102E-2</v>
          </cell>
          <cell r="N176">
            <v>2.3006756220066898E-2</v>
          </cell>
        </row>
        <row r="177">
          <cell r="A177" t="str">
            <v>交银国信·汇益稳享728天108号组合投资集合资金信托计划</v>
          </cell>
          <cell r="M177">
            <v>2.74473997153072E-2</v>
          </cell>
          <cell r="N177">
            <v>2.86010320225542E-2</v>
          </cell>
        </row>
        <row r="178">
          <cell r="A178" t="str">
            <v>交银国信·汇益364天102号组合投资集合资金信托计划</v>
          </cell>
          <cell r="M178">
            <v>2.8004288897669701E-2</v>
          </cell>
          <cell r="N178">
            <v>2.79587249948565E-2</v>
          </cell>
        </row>
        <row r="179">
          <cell r="A179" t="str">
            <v>交银国信·汇益固收稳健日开10号组合投资集合资金信托计划</v>
          </cell>
          <cell r="M179">
            <v>1.9170780702455498E-2</v>
          </cell>
          <cell r="N179">
            <v>1.7533739710784299E-2</v>
          </cell>
        </row>
        <row r="180">
          <cell r="A180" t="str">
            <v>交银国信·汇益稳享189天1号组合投资集合资金信托计划</v>
          </cell>
          <cell r="M180">
            <v>2.51822073723805E-2</v>
          </cell>
          <cell r="N180">
            <v>2.3648215788212499E-2</v>
          </cell>
        </row>
        <row r="181">
          <cell r="A181" t="str">
            <v>交银国信·汇益固收稳健对公专享日开1号组合投资集合资金信托计划</v>
          </cell>
          <cell r="M181">
            <v>-13.035714285714301</v>
          </cell>
          <cell r="N181" t="e">
            <v>#DIV/0!</v>
          </cell>
        </row>
        <row r="182">
          <cell r="A182" t="str">
            <v>交银国信·汇益绿色周周添利1号组合投资集合资金信托计划</v>
          </cell>
          <cell r="M182">
            <v>2.6293402901216099E-2</v>
          </cell>
          <cell r="N182">
            <v>2.58665363105769E-2</v>
          </cell>
        </row>
      </sheetData>
      <sheetData sheetId="36"/>
      <sheetData sheetId="37"/>
      <sheetData sheetId="38"/>
      <sheetData sheetId="3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27"/>
  <sheetViews>
    <sheetView tabSelected="1" topLeftCell="A16" zoomScale="70" zoomScaleNormal="70" workbookViewId="0">
      <selection activeCell="M21" sqref="M21"/>
    </sheetView>
  </sheetViews>
  <sheetFormatPr defaultColWidth="9" defaultRowHeight="17"/>
  <cols>
    <col min="1" max="1" width="56.08984375" style="3" customWidth="1"/>
    <col min="2" max="2" width="23.7265625" style="4" customWidth="1"/>
    <col min="3" max="3" width="11.26953125" style="3" customWidth="1"/>
    <col min="4" max="5" width="19.90625" style="3" customWidth="1"/>
    <col min="6" max="6" width="38.453125" style="1" hidden="1" customWidth="1"/>
    <col min="7" max="7" width="36.6328125" style="1" hidden="1" customWidth="1"/>
    <col min="8" max="8" width="13.36328125" style="1" hidden="1" customWidth="1"/>
    <col min="9" max="10" width="9" style="1" hidden="1" customWidth="1"/>
    <col min="11" max="12" width="9" style="1" customWidth="1"/>
    <col min="13" max="13" width="16.6328125" style="1" customWidth="1"/>
    <col min="14" max="15" width="9" style="1"/>
    <col min="16" max="16384" width="9" style="5"/>
  </cols>
  <sheetData>
    <row r="1" spans="1:20" ht="60.65" customHeight="1">
      <c r="A1" s="34" t="s">
        <v>0</v>
      </c>
      <c r="B1" s="35"/>
      <c r="C1" s="35"/>
      <c r="D1" s="35"/>
      <c r="E1" s="36"/>
    </row>
    <row r="2" spans="1:20" ht="409.5" customHeight="1">
      <c r="A2" s="37"/>
      <c r="B2" s="38"/>
      <c r="C2" s="38"/>
      <c r="D2" s="38"/>
      <c r="E2" s="39"/>
    </row>
    <row r="3" spans="1:20" ht="25" customHeight="1">
      <c r="A3" s="6" t="s">
        <v>1</v>
      </c>
      <c r="B3" s="7" t="s">
        <v>2</v>
      </c>
      <c r="C3" s="7" t="s">
        <v>3</v>
      </c>
      <c r="D3" s="7" t="s">
        <v>4</v>
      </c>
      <c r="E3" s="8" t="s">
        <v>5</v>
      </c>
    </row>
    <row r="4" spans="1:20" ht="25" customHeight="1">
      <c r="A4" s="9" t="s">
        <v>6</v>
      </c>
      <c r="B4" s="10" t="s">
        <v>7</v>
      </c>
      <c r="C4" s="32" t="s">
        <v>8</v>
      </c>
      <c r="D4" s="12">
        <v>1.8026749523399201E-2</v>
      </c>
      <c r="E4" s="13">
        <v>1.8429896062811701E-2</v>
      </c>
      <c r="F4" s="14" t="str">
        <f>INDEX($A4:$A12,MATCH(LARGE($E4:$E12,1),$E4:$E12,0))</f>
        <v>交银国信·圆融安享汇益固收稳健日开8号</v>
      </c>
      <c r="G4" s="15">
        <f>INDEX([1]表一求年化率!$N:$N,MATCH($A4&amp;"组合投资集合资金信托计划",[1]表一求年化率!$A:$A,0))</f>
        <v>1.8026749523399201E-2</v>
      </c>
      <c r="H4" s="15">
        <f>INDEX([1]表一求年化率!$M:$M,MATCH($A4&amp;"组合投资集合资金信托计划",[1]表一求年化率!$A:$A,0))</f>
        <v>1.8429896062811701E-2</v>
      </c>
      <c r="I4" s="1" t="b">
        <f>G4=D4</f>
        <v>1</v>
      </c>
      <c r="J4" s="1" t="b">
        <f>H4=E4</f>
        <v>1</v>
      </c>
    </row>
    <row r="5" spans="1:20" ht="25" customHeight="1">
      <c r="A5" s="9" t="s">
        <v>9</v>
      </c>
      <c r="B5" s="10" t="s">
        <v>7</v>
      </c>
      <c r="C5" s="32"/>
      <c r="D5" s="12">
        <v>1.8099026568258101E-2</v>
      </c>
      <c r="E5" s="13">
        <v>1.8167935248987299E-2</v>
      </c>
      <c r="F5" s="14"/>
      <c r="G5" s="15">
        <f>INDEX([1]表一求年化率!$N:$N,MATCH($A5&amp;"组合投资集合资金信托计划",[1]表一求年化率!$A:$A,0))</f>
        <v>1.8099026568258101E-2</v>
      </c>
      <c r="H5" s="15">
        <f>INDEX([1]表一求年化率!$M:$M,MATCH($A5&amp;"组合投资集合资金信托计划",[1]表一求年化率!$A:$A,0))</f>
        <v>1.8167935248987299E-2</v>
      </c>
      <c r="I5" s="1" t="b">
        <f t="shared" ref="I5:J20" si="0">G5=D5</f>
        <v>1</v>
      </c>
      <c r="J5" s="1" t="b">
        <f t="shared" si="0"/>
        <v>1</v>
      </c>
    </row>
    <row r="6" spans="1:20" ht="25" customHeight="1">
      <c r="A6" s="9" t="s">
        <v>10</v>
      </c>
      <c r="B6" s="10" t="s">
        <v>7</v>
      </c>
      <c r="C6" s="32"/>
      <c r="D6" s="12">
        <v>1.8540933690010201E-2</v>
      </c>
      <c r="E6" s="13">
        <v>1.8202794115746102E-2</v>
      </c>
      <c r="F6" s="14"/>
      <c r="G6" s="15">
        <f>INDEX([1]表一求年化率!$N:$N,MATCH($A6&amp;"组合投资集合资金信托计划",[1]表一求年化率!$A:$A,0))</f>
        <v>1.8540933690010201E-2</v>
      </c>
      <c r="H6" s="15">
        <f>INDEX([1]表一求年化率!$M:$M,MATCH($A6&amp;"组合投资集合资金信托计划",[1]表一求年化率!$A:$A,0))</f>
        <v>1.8202794115746102E-2</v>
      </c>
      <c r="I6" s="1" t="b">
        <f t="shared" si="0"/>
        <v>1</v>
      </c>
      <c r="J6" s="1" t="b">
        <f t="shared" si="0"/>
        <v>1</v>
      </c>
    </row>
    <row r="7" spans="1:20" ht="25" customHeight="1">
      <c r="A7" s="9" t="s">
        <v>11</v>
      </c>
      <c r="B7" s="10" t="s">
        <v>7</v>
      </c>
      <c r="C7" s="32"/>
      <c r="D7" s="12">
        <v>1.8273282375313501E-2</v>
      </c>
      <c r="E7" s="13">
        <v>1.8455782428366499E-2</v>
      </c>
      <c r="F7" s="14"/>
      <c r="G7" s="15">
        <f>INDEX([1]表一求年化率!$N:$N,MATCH($A7&amp;"组合投资集合资金信托计划",[1]表一求年化率!$A:$A,0))</f>
        <v>1.8273282375313501E-2</v>
      </c>
      <c r="H7" s="15">
        <f>INDEX([1]表一求年化率!$M:$M,MATCH($A7&amp;"组合投资集合资金信托计划",[1]表一求年化率!$A:$A,0))</f>
        <v>1.8455782428366499E-2</v>
      </c>
      <c r="I7" s="1" t="b">
        <f t="shared" si="0"/>
        <v>1</v>
      </c>
      <c r="J7" s="1" t="b">
        <f t="shared" si="0"/>
        <v>1</v>
      </c>
    </row>
    <row r="8" spans="1:20" ht="25" customHeight="1">
      <c r="A8" s="9" t="s">
        <v>12</v>
      </c>
      <c r="B8" s="10" t="s">
        <v>7</v>
      </c>
      <c r="C8" s="32"/>
      <c r="D8" s="16">
        <v>1.8413651504568002E-2</v>
      </c>
      <c r="E8" s="13">
        <v>1.84747092848771E-2</v>
      </c>
      <c r="F8" s="14"/>
      <c r="G8" s="15">
        <f>INDEX([1]表一求年化率!$N:$N,MATCH($A8&amp;"组合投资集合资金信托计划",[1]表一求年化率!$A:$A,0))</f>
        <v>1.8413651504568002E-2</v>
      </c>
      <c r="H8" s="15">
        <f>INDEX([1]表一求年化率!$M:$M,MATCH($A8&amp;"组合投资集合资金信托计划",[1]表一求年化率!$A:$A,0))</f>
        <v>1.84747092848771E-2</v>
      </c>
      <c r="I8" s="1" t="b">
        <f t="shared" si="0"/>
        <v>1</v>
      </c>
      <c r="J8" s="1" t="b">
        <f t="shared" si="0"/>
        <v>1</v>
      </c>
    </row>
    <row r="9" spans="1:20" ht="25" customHeight="1">
      <c r="A9" s="9" t="s">
        <v>13</v>
      </c>
      <c r="B9" s="10" t="s">
        <v>7</v>
      </c>
      <c r="C9" s="32"/>
      <c r="D9" s="12">
        <v>1.8157532697634302E-2</v>
      </c>
      <c r="E9" s="13">
        <v>1.7820881062604401E-2</v>
      </c>
      <c r="F9" s="14"/>
      <c r="G9" s="15">
        <f>INDEX([1]表一求年化率!$N:$N,MATCH($A9&amp;"组合投资集合资金信托计划",[1]表一求年化率!$A:$A,0))</f>
        <v>1.8157532697634302E-2</v>
      </c>
      <c r="H9" s="15">
        <f>INDEX([1]表一求年化率!$M:$M,MATCH($A9&amp;"组合投资集合资金信托计划",[1]表一求年化率!$A:$A,0))</f>
        <v>1.7820881062604401E-2</v>
      </c>
      <c r="I9" s="1" t="b">
        <f t="shared" si="0"/>
        <v>1</v>
      </c>
      <c r="J9" s="1" t="b">
        <f t="shared" si="0"/>
        <v>1</v>
      </c>
    </row>
    <row r="10" spans="1:20" ht="25" customHeight="1">
      <c r="A10" s="9" t="s">
        <v>14</v>
      </c>
      <c r="B10" s="10" t="s">
        <v>7</v>
      </c>
      <c r="C10" s="32"/>
      <c r="D10" s="12">
        <v>1.8116024444325599E-2</v>
      </c>
      <c r="E10" s="13">
        <v>1.8479061190421101E-2</v>
      </c>
      <c r="F10" s="14"/>
      <c r="G10" s="15">
        <f>INDEX([1]表一求年化率!$N:$N,MATCH($A10&amp;"组合投资集合资金信托计划",[1]表一求年化率!$A:$A,0))</f>
        <v>1.8116024444325599E-2</v>
      </c>
      <c r="H10" s="15">
        <f>INDEX([1]表一求年化率!$M:$M,MATCH($A10&amp;"组合投资集合资金信托计划",[1]表一求年化率!$A:$A,0))</f>
        <v>1.8479061190421101E-2</v>
      </c>
      <c r="I10" s="1" t="b">
        <f t="shared" si="0"/>
        <v>1</v>
      </c>
      <c r="J10" s="1" t="b">
        <f t="shared" si="0"/>
        <v>1</v>
      </c>
    </row>
    <row r="11" spans="1:20" ht="25" customHeight="1">
      <c r="A11" s="9" t="s">
        <v>15</v>
      </c>
      <c r="B11" s="10" t="s">
        <v>7</v>
      </c>
      <c r="C11" s="32"/>
      <c r="D11" s="12">
        <v>1.8759873096803902E-2</v>
      </c>
      <c r="E11" s="13">
        <v>1.8712860038830499E-2</v>
      </c>
      <c r="F11" s="14"/>
      <c r="G11" s="15">
        <f>INDEX([1]表一求年化率!$N:$N,MATCH($A11&amp;"组合投资集合资金信托计划",[1]表一求年化率!$A:$A,0))</f>
        <v>1.8759873096803902E-2</v>
      </c>
      <c r="H11" s="15">
        <f>INDEX([1]表一求年化率!$M:$M,MATCH($A11&amp;"组合投资集合资金信托计划",[1]表一求年化率!$A:$A,0))</f>
        <v>1.8712860038830499E-2</v>
      </c>
      <c r="I11" s="1" t="b">
        <f t="shared" si="0"/>
        <v>1</v>
      </c>
      <c r="J11" s="1" t="b">
        <f t="shared" si="0"/>
        <v>1</v>
      </c>
      <c r="M11" s="26"/>
    </row>
    <row r="12" spans="1:20" ht="25" customHeight="1">
      <c r="A12" s="9" t="s">
        <v>16</v>
      </c>
      <c r="B12" s="10" t="s">
        <v>7</v>
      </c>
      <c r="C12" s="32"/>
      <c r="D12" s="12">
        <v>1.8241540187618501E-2</v>
      </c>
      <c r="E12" s="13">
        <v>1.8235253912549401E-2</v>
      </c>
      <c r="F12" s="14"/>
      <c r="G12" s="15">
        <f>INDEX([1]表一求年化率!$N:$N,MATCH($A12&amp;"组合投资集合资金信托计划",[1]表一求年化率!$A:$A,0))</f>
        <v>1.8241540187618501E-2</v>
      </c>
      <c r="H12" s="15">
        <f>INDEX([1]表一求年化率!$M:$M,MATCH($A12&amp;"组合投资集合资金信托计划",[1]表一求年化率!$A:$A,0))</f>
        <v>1.8235253912549401E-2</v>
      </c>
      <c r="I12" s="1" t="b">
        <f t="shared" si="0"/>
        <v>1</v>
      </c>
      <c r="J12" s="1" t="b">
        <f t="shared" si="0"/>
        <v>1</v>
      </c>
    </row>
    <row r="13" spans="1:20" s="1" customFormat="1" ht="409.5" customHeight="1">
      <c r="A13" s="40"/>
      <c r="B13" s="41"/>
      <c r="C13" s="41"/>
      <c r="D13" s="41"/>
      <c r="E13" s="42"/>
      <c r="F13" s="14"/>
      <c r="G13" s="15"/>
      <c r="H13" s="15"/>
      <c r="I13" s="2"/>
      <c r="J13" s="2"/>
      <c r="P13" s="5"/>
      <c r="Q13" s="5"/>
      <c r="R13" s="5"/>
      <c r="S13" s="5"/>
      <c r="T13" s="5"/>
    </row>
    <row r="14" spans="1:20" s="1" customFormat="1" ht="25" customHeight="1">
      <c r="A14" s="17" t="s">
        <v>1</v>
      </c>
      <c r="B14" s="18" t="s">
        <v>2</v>
      </c>
      <c r="C14" s="18" t="s">
        <v>3</v>
      </c>
      <c r="D14" s="18" t="s">
        <v>4</v>
      </c>
      <c r="E14" s="19" t="s">
        <v>5</v>
      </c>
      <c r="F14" s="14"/>
      <c r="G14" s="15"/>
      <c r="H14" s="15"/>
      <c r="I14" s="2"/>
      <c r="J14" s="2"/>
      <c r="P14" s="5"/>
      <c r="Q14" s="5"/>
      <c r="R14" s="5"/>
      <c r="S14" s="5"/>
      <c r="T14" s="5"/>
    </row>
    <row r="15" spans="1:20" s="1" customFormat="1" ht="25" customHeight="1">
      <c r="A15" s="20" t="s">
        <v>17</v>
      </c>
      <c r="B15" s="10">
        <v>46155</v>
      </c>
      <c r="C15" s="33" t="s">
        <v>18</v>
      </c>
      <c r="D15" s="21">
        <v>1.9400936884920499E-2</v>
      </c>
      <c r="E15" s="22">
        <v>1.9659947716508901E-2</v>
      </c>
      <c r="F15" s="23" t="str">
        <f>INDEX($A15:$A17,MATCH(LARGE($D15:$D17,1),$D15:$D17,0))</f>
        <v>交银国信·圆融安享汇益固收稳健7天2号</v>
      </c>
      <c r="G15" s="15">
        <f>INDEX([1]表一求年化率!$N:$N,MATCH($A15&amp;"组合投资集合资金信托计划",[1]表一求年化率!$A:$A,0))</f>
        <v>1.9400936884920499E-2</v>
      </c>
      <c r="H15" s="15">
        <f>INDEX([1]表一求年化率!$M:$M,MATCH($A15&amp;"组合投资集合资金信托计划",[1]表一求年化率!$A:$A,0))</f>
        <v>1.9659947716508901E-2</v>
      </c>
      <c r="I15" s="1" t="b">
        <f t="shared" si="0"/>
        <v>1</v>
      </c>
      <c r="J15" s="1" t="b">
        <f t="shared" si="0"/>
        <v>1</v>
      </c>
      <c r="M15" s="27"/>
      <c r="P15" s="5"/>
      <c r="Q15" s="5"/>
      <c r="R15" s="5"/>
      <c r="S15" s="5"/>
      <c r="T15" s="5"/>
    </row>
    <row r="16" spans="1:20" s="1" customFormat="1" ht="25" customHeight="1">
      <c r="A16" s="20" t="s">
        <v>19</v>
      </c>
      <c r="B16" s="10">
        <v>46155</v>
      </c>
      <c r="C16" s="33"/>
      <c r="D16" s="21">
        <v>2.0227091643884199E-2</v>
      </c>
      <c r="E16" s="22">
        <v>2.0109272311619499E-2</v>
      </c>
      <c r="F16" s="14">
        <f>B15+7</f>
        <v>46162</v>
      </c>
      <c r="G16" s="15">
        <f>INDEX([1]表一求年化率!$N:$N,MATCH($A16&amp;"组合投资集合资金信托计划",[1]表一求年化率!$A:$A,0))</f>
        <v>2.0227091643884199E-2</v>
      </c>
      <c r="H16" s="15">
        <f>INDEX([1]表一求年化率!$M:$M,MATCH($A16&amp;"组合投资集合资金信托计划",[1]表一求年化率!$A:$A,0))</f>
        <v>2.0109272311619499E-2</v>
      </c>
      <c r="I16" s="1" t="b">
        <f t="shared" si="0"/>
        <v>1</v>
      </c>
      <c r="J16" s="1" t="b">
        <f t="shared" si="0"/>
        <v>1</v>
      </c>
      <c r="P16" s="5"/>
      <c r="Q16" s="5"/>
      <c r="R16" s="5"/>
      <c r="S16" s="5"/>
      <c r="T16" s="5"/>
    </row>
    <row r="17" spans="1:20" s="1" customFormat="1" ht="25" customHeight="1">
      <c r="A17" s="20" t="s">
        <v>20</v>
      </c>
      <c r="B17" s="10">
        <v>46155</v>
      </c>
      <c r="C17" s="33"/>
      <c r="D17" s="21">
        <v>1.94265251041871E-2</v>
      </c>
      <c r="E17" s="22">
        <v>1.9853159317288101E-2</v>
      </c>
      <c r="F17" s="14"/>
      <c r="G17" s="15">
        <f>INDEX([1]表一求年化率!$N:$N,MATCH($A17&amp;"组合投资集合资金信托计划",[1]表一求年化率!$A:$A,0))</f>
        <v>1.94265251041871E-2</v>
      </c>
      <c r="H17" s="15">
        <f>INDEX([1]表一求年化率!$M:$M,MATCH($A17&amp;"组合投资集合资金信托计划",[1]表一求年化率!$A:$A,0))</f>
        <v>1.9853159317288101E-2</v>
      </c>
      <c r="I17" s="1" t="b">
        <f t="shared" si="0"/>
        <v>1</v>
      </c>
      <c r="J17" s="1" t="b">
        <f t="shared" si="0"/>
        <v>1</v>
      </c>
      <c r="P17" s="5"/>
      <c r="Q17" s="5"/>
      <c r="R17" s="5"/>
      <c r="S17" s="5"/>
      <c r="T17" s="5"/>
    </row>
    <row r="18" spans="1:20" s="1" customFormat="1" ht="409.5" customHeight="1">
      <c r="A18" s="43"/>
      <c r="B18" s="44"/>
      <c r="C18" s="44"/>
      <c r="D18" s="44"/>
      <c r="E18" s="45"/>
      <c r="F18" s="14"/>
      <c r="G18" s="15"/>
      <c r="H18" s="15"/>
      <c r="I18" s="2"/>
      <c r="J18" s="2"/>
      <c r="P18" s="5"/>
      <c r="Q18" s="5"/>
      <c r="R18" s="5"/>
      <c r="S18" s="5"/>
      <c r="T18" s="5"/>
    </row>
    <row r="19" spans="1:20" s="1" customFormat="1" ht="17.5">
      <c r="A19" s="6" t="s">
        <v>1</v>
      </c>
      <c r="B19" s="7" t="s">
        <v>2</v>
      </c>
      <c r="C19" s="7" t="s">
        <v>3</v>
      </c>
      <c r="D19" s="7" t="s">
        <v>4</v>
      </c>
      <c r="E19" s="8" t="s">
        <v>5</v>
      </c>
      <c r="F19" s="14">
        <f>B20+28</f>
        <v>46197</v>
      </c>
      <c r="G19" s="15"/>
      <c r="H19" s="15"/>
      <c r="I19" s="2"/>
      <c r="J19" s="2"/>
      <c r="P19" s="5"/>
      <c r="Q19" s="5"/>
      <c r="R19" s="5"/>
      <c r="S19" s="5"/>
      <c r="T19" s="5"/>
    </row>
    <row r="20" spans="1:20" s="1" customFormat="1" ht="25" customHeight="1">
      <c r="A20" s="24" t="s">
        <v>21</v>
      </c>
      <c r="B20" s="10">
        <v>46169</v>
      </c>
      <c r="C20" s="11" t="s">
        <v>22</v>
      </c>
      <c r="D20" s="12">
        <v>2.0597486515488098E-2</v>
      </c>
      <c r="E20" s="12">
        <v>2.0862107200044298E-2</v>
      </c>
      <c r="F20" s="14" t="str">
        <f>INDEX($A20:$A20,MATCH(LARGE($E20:$E20,1),$E20:$E20,0))</f>
        <v>交银国信·圆融安享汇益固收稳健28天1号</v>
      </c>
      <c r="G20" s="15">
        <f>INDEX([1]表一求年化率!$N:$N,MATCH($A20&amp;"组合投资集合资金信托计划",[1]表一求年化率!$A:$A,0))</f>
        <v>2.0597486515488098E-2</v>
      </c>
      <c r="H20" s="15">
        <f>INDEX([1]表一求年化率!$M:$M,MATCH($A20&amp;"组合投资集合资金信托计划",[1]表一求年化率!$A:$A,0))</f>
        <v>2.0862107200044298E-2</v>
      </c>
      <c r="I20" s="1" t="b">
        <f t="shared" si="0"/>
        <v>1</v>
      </c>
      <c r="J20" s="1" t="b">
        <f t="shared" si="0"/>
        <v>1</v>
      </c>
      <c r="P20" s="5"/>
      <c r="Q20" s="5"/>
      <c r="R20" s="5"/>
      <c r="S20" s="5"/>
      <c r="T20" s="5"/>
    </row>
    <row r="21" spans="1:20" ht="17.25" customHeight="1">
      <c r="A21" s="46" t="s">
        <v>23</v>
      </c>
      <c r="B21" s="47"/>
      <c r="C21" s="47"/>
      <c r="D21" s="47"/>
      <c r="E21" s="48"/>
      <c r="G21" s="25"/>
    </row>
    <row r="22" spans="1:20" ht="74.25" customHeight="1">
      <c r="A22" s="29" t="s">
        <v>24</v>
      </c>
      <c r="B22" s="30"/>
      <c r="C22" s="30"/>
      <c r="D22" s="30"/>
      <c r="E22" s="31"/>
      <c r="T22" s="2"/>
    </row>
    <row r="23" spans="1:20" s="2" customFormat="1" ht="15">
      <c r="F23" s="14"/>
      <c r="G23" s="14"/>
      <c r="H23" s="14"/>
      <c r="I23" s="14"/>
      <c r="J23" s="14"/>
      <c r="K23" s="14"/>
      <c r="L23" s="14"/>
      <c r="M23" s="14"/>
      <c r="N23" s="14"/>
      <c r="O23" s="14"/>
      <c r="P23" s="28"/>
      <c r="Q23" s="28"/>
    </row>
    <row r="24" spans="1:20">
      <c r="H24" s="25"/>
    </row>
    <row r="25" spans="1:20">
      <c r="H25" s="25"/>
    </row>
    <row r="26" spans="1:20">
      <c r="D26" s="3" t="s">
        <v>25</v>
      </c>
      <c r="H26" s="25"/>
    </row>
    <row r="27" spans="1:20">
      <c r="A27" s="5"/>
      <c r="B27" s="5"/>
      <c r="C27" s="5"/>
      <c r="D27" s="5"/>
      <c r="E27" s="5"/>
      <c r="F27" s="5"/>
      <c r="G27" s="5"/>
      <c r="H27" s="25"/>
      <c r="I27" s="5"/>
      <c r="J27" s="5"/>
      <c r="K27" s="5"/>
      <c r="L27" s="5"/>
      <c r="M27" s="5"/>
      <c r="N27" s="5"/>
      <c r="O27" s="5"/>
    </row>
  </sheetData>
  <mergeCells count="8">
    <mergeCell ref="A22:E22"/>
    <mergeCell ref="C4:C12"/>
    <mergeCell ref="C15:C17"/>
    <mergeCell ref="A1:E1"/>
    <mergeCell ref="A2:E2"/>
    <mergeCell ref="A13:E13"/>
    <mergeCell ref="A18:E18"/>
    <mergeCell ref="A21:E21"/>
  </mergeCells>
  <phoneticPr fontId="17" type="noConversion"/>
  <conditionalFormatting sqref="I4:J12 I15:J17 I20:J20">
    <cfRule type="containsText" dxfId="4" priority="1" operator="containsText" text="FALSE">
      <formula>NOT(ISERROR(SEARCH("FALSE",I4)))</formula>
    </cfRule>
    <cfRule type="containsText" dxfId="3" priority="2" operator="containsText" text="TRUE">
      <formula>NOT(ISERROR(SEARCH("TRUE",I4)))</formula>
    </cfRule>
    <cfRule type="containsText" dxfId="2" priority="3" operator="containsText" text="TURE">
      <formula>NOT(ISERROR(SEARCH("TURE",I4)))</formula>
    </cfRule>
    <cfRule type="cellIs" dxfId="1" priority="4" operator="equal">
      <formula>"TURE"</formula>
    </cfRule>
    <cfRule type="cellIs" dxfId="0" priority="5" operator="equal">
      <formula>"ture"</formula>
    </cfRule>
  </conditionalFormatting>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圆融安享日开7天28天系列</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2025-07-28T08:52:00Z</dcterms:created>
  <dcterms:modified xsi:type="dcterms:W3CDTF">2026-05-21T01:35:09Z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E751972C38D9462CB84B648579380C72</vt:lpwstr>
  </property>
  <property fmtid="{D5CDD505-2E9C-101B-9397-08002B2CF9AE}" pid="3" name="KSOProductBuildVer">
    <vt:lpwstr>2052-11.8.2.11019</vt:lpwstr>
  </property>
</Properties>
</file>